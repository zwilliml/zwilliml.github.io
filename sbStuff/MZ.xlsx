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michaelzwilling/Desktop/ZwillingWeb/sbStuff/"/>
    </mc:Choice>
  </mc:AlternateContent>
  <xr:revisionPtr revIDLastSave="0" documentId="13_ncr:1_{271524E6-6CBD-E24C-973A-687B091940DD}" xr6:coauthVersionLast="47" xr6:coauthVersionMax="47" xr10:uidLastSave="{00000000-0000-0000-0000-000000000000}"/>
  <bookViews>
    <workbookView xWindow="0" yWindow="500" windowWidth="37320" windowHeight="21100" xr2:uid="{00000000-000D-0000-FFFF-FFFF00000000}"/>
  </bookViews>
  <sheets>
    <sheet name="MZ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51" i="1" l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74" i="1"/>
  <c r="AD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F73" i="1"/>
  <c r="E73" i="1"/>
  <c r="D73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M72" i="1"/>
  <c r="L72" i="1"/>
  <c r="K72" i="1"/>
  <c r="AB72" i="1" s="1"/>
  <c r="J72" i="1"/>
  <c r="I72" i="1"/>
  <c r="H72" i="1"/>
  <c r="F72" i="1"/>
  <c r="E72" i="1"/>
  <c r="D72" i="1"/>
  <c r="N72" i="1"/>
  <c r="G72" i="1"/>
  <c r="AD72" i="1"/>
  <c r="AE72" i="1"/>
  <c r="AB23" i="1"/>
  <c r="O23" i="1"/>
  <c r="AC23" i="1" s="1"/>
  <c r="I51" i="1"/>
  <c r="J51" i="1"/>
  <c r="K51" i="1"/>
  <c r="AB51" i="1" s="1"/>
  <c r="L51" i="1"/>
  <c r="M51" i="1"/>
  <c r="N51" i="1"/>
  <c r="P51" i="1"/>
  <c r="Q51" i="1"/>
  <c r="R51" i="1"/>
  <c r="S51" i="1"/>
  <c r="U51" i="1"/>
  <c r="V51" i="1"/>
  <c r="W51" i="1"/>
  <c r="X51" i="1"/>
  <c r="Z51" i="1"/>
  <c r="AA51" i="1"/>
  <c r="E51" i="1"/>
  <c r="D51" i="1"/>
  <c r="F48" i="1"/>
  <c r="G48" i="1" s="1"/>
  <c r="H48" i="1"/>
  <c r="O48" i="1"/>
  <c r="T48" i="1"/>
  <c r="Y48" i="1"/>
  <c r="AE48" i="1" s="1"/>
  <c r="AB48" i="1"/>
  <c r="AC48" i="1"/>
  <c r="AD48" i="1"/>
  <c r="F49" i="1"/>
  <c r="G49" i="1" s="1"/>
  <c r="H49" i="1"/>
  <c r="O49" i="1"/>
  <c r="T49" i="1"/>
  <c r="AD49" i="1" s="1"/>
  <c r="Y49" i="1"/>
  <c r="AB49" i="1"/>
  <c r="AC49" i="1"/>
  <c r="AE49" i="1"/>
  <c r="D60" i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4" i="1" s="1"/>
  <c r="E60" i="1"/>
  <c r="E61" i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I60" i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J60" i="1"/>
  <c r="J61" i="1"/>
  <c r="J62" i="1" s="1"/>
  <c r="J63" i="1" s="1"/>
  <c r="J64" i="1"/>
  <c r="J65" i="1" s="1"/>
  <c r="J66" i="1" s="1"/>
  <c r="J67" i="1" s="1"/>
  <c r="J68" i="1" s="1"/>
  <c r="J69" i="1" s="1"/>
  <c r="J70" i="1" s="1"/>
  <c r="J71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K60" i="1"/>
  <c r="K61" i="1" s="1"/>
  <c r="K62" i="1" s="1"/>
  <c r="K63" i="1" s="1"/>
  <c r="K64" i="1" s="1"/>
  <c r="K65" i="1" s="1"/>
  <c r="L60" i="1"/>
  <c r="L61" i="1" s="1"/>
  <c r="L62" i="1" s="1"/>
  <c r="L63" i="1" s="1"/>
  <c r="L64" i="1" s="1"/>
  <c r="M60" i="1"/>
  <c r="M61" i="1" s="1"/>
  <c r="N60" i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P60" i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Q60" i="1"/>
  <c r="Q61" i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R60" i="1"/>
  <c r="R61" i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S60" i="1"/>
  <c r="S61" i="1" s="1"/>
  <c r="S62" i="1"/>
  <c r="S63" i="1" s="1"/>
  <c r="S64" i="1" s="1"/>
  <c r="S65" i="1" s="1"/>
  <c r="S66" i="1" s="1"/>
  <c r="S67" i="1" s="1"/>
  <c r="S68" i="1" s="1"/>
  <c r="S69" i="1" s="1"/>
  <c r="S70" i="1" s="1"/>
  <c r="S71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U60" i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V60" i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4" i="1" s="1"/>
  <c r="V75" i="1" s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97" i="1" s="1"/>
  <c r="V98" i="1" s="1"/>
  <c r="V99" i="1" s="1"/>
  <c r="W60" i="1"/>
  <c r="W61" i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W74" i="1" s="1"/>
  <c r="W75" i="1" s="1"/>
  <c r="W76" i="1" s="1"/>
  <c r="W77" i="1" s="1"/>
  <c r="W78" i="1" s="1"/>
  <c r="W79" i="1" s="1"/>
  <c r="W80" i="1" s="1"/>
  <c r="W81" i="1" s="1"/>
  <c r="W82" i="1" s="1"/>
  <c r="W83" i="1" s="1"/>
  <c r="W84" i="1" s="1"/>
  <c r="W85" i="1" s="1"/>
  <c r="W86" i="1" s="1"/>
  <c r="W87" i="1" s="1"/>
  <c r="W88" i="1" s="1"/>
  <c r="W89" i="1" s="1"/>
  <c r="W90" i="1" s="1"/>
  <c r="W91" i="1" s="1"/>
  <c r="W92" i="1" s="1"/>
  <c r="W93" i="1" s="1"/>
  <c r="W94" i="1" s="1"/>
  <c r="W95" i="1" s="1"/>
  <c r="W96" i="1" s="1"/>
  <c r="W97" i="1" s="1"/>
  <c r="W98" i="1" s="1"/>
  <c r="W99" i="1" s="1"/>
  <c r="X60" i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Z60" i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Z74" i="1" s="1"/>
  <c r="Z75" i="1" s="1"/>
  <c r="Z76" i="1" s="1"/>
  <c r="Z77" i="1" s="1"/>
  <c r="Z78" i="1" s="1"/>
  <c r="Z79" i="1" s="1"/>
  <c r="Z80" i="1" s="1"/>
  <c r="Z81" i="1" s="1"/>
  <c r="Z82" i="1" s="1"/>
  <c r="Z83" i="1" s="1"/>
  <c r="Z84" i="1" s="1"/>
  <c r="Z85" i="1" s="1"/>
  <c r="Z86" i="1" s="1"/>
  <c r="Z87" i="1" s="1"/>
  <c r="Z88" i="1" s="1"/>
  <c r="Z89" i="1" s="1"/>
  <c r="Z90" i="1" s="1"/>
  <c r="Z91" i="1" s="1"/>
  <c r="Z92" i="1" s="1"/>
  <c r="Z93" i="1" s="1"/>
  <c r="Z94" i="1" s="1"/>
  <c r="Z95" i="1" s="1"/>
  <c r="Z96" i="1" s="1"/>
  <c r="Z97" i="1" s="1"/>
  <c r="Z98" i="1" s="1"/>
  <c r="Z99" i="1" s="1"/>
  <c r="AA60" i="1"/>
  <c r="AA61" i="1" s="1"/>
  <c r="AA62" i="1" s="1"/>
  <c r="AA63" i="1" s="1"/>
  <c r="AA64" i="1" s="1"/>
  <c r="AA65" i="1" s="1"/>
  <c r="AA66" i="1" s="1"/>
  <c r="AA67" i="1" s="1"/>
  <c r="AA68" i="1" s="1"/>
  <c r="AA69" i="1" s="1"/>
  <c r="AA70" i="1" s="1"/>
  <c r="AA71" i="1" s="1"/>
  <c r="AA74" i="1" s="1"/>
  <c r="AA75" i="1" s="1"/>
  <c r="AA76" i="1" s="1"/>
  <c r="AA77" i="1" s="1"/>
  <c r="AA78" i="1" s="1"/>
  <c r="AA79" i="1" s="1"/>
  <c r="AA80" i="1" s="1"/>
  <c r="AA81" i="1" s="1"/>
  <c r="AA82" i="1" s="1"/>
  <c r="AA83" i="1" s="1"/>
  <c r="AA84" i="1" s="1"/>
  <c r="AA85" i="1" s="1"/>
  <c r="AA86" i="1" s="1"/>
  <c r="AA87" i="1" s="1"/>
  <c r="AA88" i="1" s="1"/>
  <c r="AA89" i="1" s="1"/>
  <c r="AA90" i="1" s="1"/>
  <c r="AA91" i="1" s="1"/>
  <c r="AA92" i="1" s="1"/>
  <c r="AA93" i="1" s="1"/>
  <c r="AA94" i="1" s="1"/>
  <c r="AA95" i="1" s="1"/>
  <c r="AA96" i="1" s="1"/>
  <c r="AA97" i="1" s="1"/>
  <c r="AA98" i="1" s="1"/>
  <c r="AA99" i="1" s="1"/>
  <c r="F47" i="1"/>
  <c r="G47" i="1" s="1"/>
  <c r="H47" i="1"/>
  <c r="O47" i="1"/>
  <c r="AC47" i="1" s="1"/>
  <c r="T47" i="1"/>
  <c r="AD47" i="1" s="1"/>
  <c r="Y47" i="1"/>
  <c r="AB47" i="1"/>
  <c r="F59" i="1"/>
  <c r="G5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/>
  <c r="F17" i="1"/>
  <c r="G17" i="1" s="1"/>
  <c r="F18" i="1"/>
  <c r="G18" i="1" s="1"/>
  <c r="F19" i="1"/>
  <c r="F20" i="1"/>
  <c r="G20" i="1" s="1"/>
  <c r="F21" i="1"/>
  <c r="G21" i="1"/>
  <c r="F22" i="1"/>
  <c r="G22" i="1" s="1"/>
  <c r="F24" i="1"/>
  <c r="F25" i="1"/>
  <c r="G25" i="1" s="1"/>
  <c r="F26" i="1"/>
  <c r="G26" i="1" s="1"/>
  <c r="F27" i="1"/>
  <c r="G27" i="1" s="1"/>
  <c r="F28" i="1"/>
  <c r="G28" i="1" s="1"/>
  <c r="F29" i="1"/>
  <c r="G29" i="1"/>
  <c r="F30" i="1"/>
  <c r="G30" i="1"/>
  <c r="F31" i="1"/>
  <c r="G31" i="1" s="1"/>
  <c r="F32" i="1"/>
  <c r="G32" i="1" s="1"/>
  <c r="F33" i="1"/>
  <c r="G33" i="1" s="1"/>
  <c r="F34" i="1"/>
  <c r="G34" i="1" s="1"/>
  <c r="F35" i="1"/>
  <c r="G35" i="1" s="1"/>
  <c r="F36" i="1"/>
  <c r="F37" i="1"/>
  <c r="G37" i="1"/>
  <c r="F38" i="1"/>
  <c r="G38" i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/>
  <c r="F46" i="1"/>
  <c r="G46" i="1" s="1"/>
  <c r="H59" i="1"/>
  <c r="H10" i="1"/>
  <c r="H11" i="1"/>
  <c r="H12" i="1"/>
  <c r="H13" i="1"/>
  <c r="H14" i="1"/>
  <c r="H15" i="1"/>
  <c r="H16" i="1"/>
  <c r="AE16" i="1" s="1"/>
  <c r="H17" i="1"/>
  <c r="AE17" i="1" s="1"/>
  <c r="H18" i="1"/>
  <c r="AE18" i="1" s="1"/>
  <c r="H19" i="1"/>
  <c r="H20" i="1"/>
  <c r="H21" i="1"/>
  <c r="H22" i="1"/>
  <c r="H24" i="1"/>
  <c r="H25" i="1"/>
  <c r="H26" i="1"/>
  <c r="H27" i="1"/>
  <c r="H28" i="1"/>
  <c r="AE28" i="1" s="1"/>
  <c r="H29" i="1"/>
  <c r="AE29" i="1" s="1"/>
  <c r="H30" i="1"/>
  <c r="H31" i="1"/>
  <c r="H32" i="1"/>
  <c r="H33" i="1"/>
  <c r="H34" i="1"/>
  <c r="H35" i="1"/>
  <c r="H36" i="1"/>
  <c r="H37" i="1"/>
  <c r="AE37" i="1" s="1"/>
  <c r="H38" i="1"/>
  <c r="H39" i="1"/>
  <c r="H40" i="1"/>
  <c r="AE40" i="1" s="1"/>
  <c r="H41" i="1"/>
  <c r="H42" i="1"/>
  <c r="H43" i="1"/>
  <c r="H44" i="1"/>
  <c r="H45" i="1"/>
  <c r="H46" i="1"/>
  <c r="O59" i="1"/>
  <c r="AC59" i="1" s="1"/>
  <c r="O10" i="1"/>
  <c r="AC10" i="1" s="1"/>
  <c r="O11" i="1"/>
  <c r="AC11" i="1" s="1"/>
  <c r="O12" i="1"/>
  <c r="AC12" i="1" s="1"/>
  <c r="O13" i="1"/>
  <c r="AC13" i="1" s="1"/>
  <c r="O14" i="1"/>
  <c r="AC14" i="1" s="1"/>
  <c r="O15" i="1"/>
  <c r="AC15" i="1" s="1"/>
  <c r="O16" i="1"/>
  <c r="AC16" i="1" s="1"/>
  <c r="O17" i="1"/>
  <c r="AC17" i="1" s="1"/>
  <c r="O18" i="1"/>
  <c r="AC18" i="1" s="1"/>
  <c r="O19" i="1"/>
  <c r="AC19" i="1"/>
  <c r="O20" i="1"/>
  <c r="AC20" i="1" s="1"/>
  <c r="O21" i="1"/>
  <c r="AC21" i="1" s="1"/>
  <c r="O22" i="1"/>
  <c r="AC22" i="1" s="1"/>
  <c r="O24" i="1"/>
  <c r="AC24" i="1" s="1"/>
  <c r="O25" i="1"/>
  <c r="AC25" i="1" s="1"/>
  <c r="O26" i="1"/>
  <c r="O27" i="1"/>
  <c r="AC27" i="1" s="1"/>
  <c r="O28" i="1"/>
  <c r="AC28" i="1" s="1"/>
  <c r="O29" i="1"/>
  <c r="AC29" i="1" s="1"/>
  <c r="O30" i="1"/>
  <c r="AC30" i="1" s="1"/>
  <c r="O31" i="1"/>
  <c r="AC31" i="1"/>
  <c r="O32" i="1"/>
  <c r="AC32" i="1" s="1"/>
  <c r="O33" i="1"/>
  <c r="AC33" i="1" s="1"/>
  <c r="O34" i="1"/>
  <c r="AC34" i="1" s="1"/>
  <c r="O35" i="1"/>
  <c r="AC35" i="1" s="1"/>
  <c r="O36" i="1"/>
  <c r="AC36" i="1"/>
  <c r="O37" i="1"/>
  <c r="AC37" i="1" s="1"/>
  <c r="O38" i="1"/>
  <c r="O39" i="1"/>
  <c r="AC39" i="1" s="1"/>
  <c r="O40" i="1"/>
  <c r="AC40" i="1" s="1"/>
  <c r="O41" i="1"/>
  <c r="AC41" i="1" s="1"/>
  <c r="O42" i="1"/>
  <c r="O43" i="1"/>
  <c r="O44" i="1"/>
  <c r="AC44" i="1"/>
  <c r="O45" i="1"/>
  <c r="O46" i="1"/>
  <c r="AC46" i="1" s="1"/>
  <c r="T59" i="1"/>
  <c r="AD59" i="1" s="1"/>
  <c r="T10" i="1"/>
  <c r="AD10" i="1" s="1"/>
  <c r="T11" i="1"/>
  <c r="AD11" i="1" s="1"/>
  <c r="T12" i="1"/>
  <c r="AD12" i="1" s="1"/>
  <c r="T13" i="1"/>
  <c r="AD13" i="1" s="1"/>
  <c r="T14" i="1"/>
  <c r="AD14" i="1" s="1"/>
  <c r="T15" i="1"/>
  <c r="AD15" i="1" s="1"/>
  <c r="T16" i="1"/>
  <c r="AD16" i="1"/>
  <c r="T17" i="1"/>
  <c r="AD17" i="1" s="1"/>
  <c r="T18" i="1"/>
  <c r="AD18" i="1" s="1"/>
  <c r="T19" i="1"/>
  <c r="T20" i="1"/>
  <c r="T21" i="1"/>
  <c r="AD21" i="1" s="1"/>
  <c r="T22" i="1"/>
  <c r="AD22" i="1"/>
  <c r="T24" i="1"/>
  <c r="AD24" i="1" s="1"/>
  <c r="T25" i="1"/>
  <c r="AD25" i="1"/>
  <c r="T26" i="1"/>
  <c r="AD26" i="1" s="1"/>
  <c r="T27" i="1"/>
  <c r="AD27" i="1" s="1"/>
  <c r="T28" i="1"/>
  <c r="AD28" i="1" s="1"/>
  <c r="T29" i="1"/>
  <c r="AD29" i="1" s="1"/>
  <c r="T30" i="1"/>
  <c r="AD30" i="1" s="1"/>
  <c r="T31" i="1"/>
  <c r="AD31" i="1"/>
  <c r="T32" i="1"/>
  <c r="T33" i="1"/>
  <c r="AD33" i="1"/>
  <c r="T34" i="1"/>
  <c r="AD34" i="1" s="1"/>
  <c r="T35" i="1"/>
  <c r="AD35" i="1" s="1"/>
  <c r="T36" i="1"/>
  <c r="AD36" i="1" s="1"/>
  <c r="T37" i="1"/>
  <c r="AD37" i="1" s="1"/>
  <c r="T38" i="1"/>
  <c r="AD38" i="1" s="1"/>
  <c r="T39" i="1"/>
  <c r="AD39" i="1" s="1"/>
  <c r="T40" i="1"/>
  <c r="AD40" i="1" s="1"/>
  <c r="T41" i="1"/>
  <c r="AD41" i="1"/>
  <c r="T42" i="1"/>
  <c r="AD42" i="1" s="1"/>
  <c r="T43" i="1"/>
  <c r="AD43" i="1" s="1"/>
  <c r="T44" i="1"/>
  <c r="AD44" i="1" s="1"/>
  <c r="T45" i="1"/>
  <c r="T46" i="1"/>
  <c r="AD46" i="1" s="1"/>
  <c r="Y59" i="1"/>
  <c r="Y10" i="1"/>
  <c r="Y11" i="1"/>
  <c r="AE11" i="1" s="1"/>
  <c r="Y12" i="1"/>
  <c r="Y13" i="1"/>
  <c r="AE13" i="1" s="1"/>
  <c r="Y14" i="1"/>
  <c r="Y15" i="1"/>
  <c r="Y51" i="1" s="1"/>
  <c r="Y16" i="1"/>
  <c r="Y17" i="1"/>
  <c r="Y18" i="1"/>
  <c r="Y19" i="1"/>
  <c r="Y20" i="1"/>
  <c r="Y21" i="1"/>
  <c r="AE21" i="1" s="1"/>
  <c r="Y22" i="1"/>
  <c r="AE22" i="1" s="1"/>
  <c r="Y24" i="1"/>
  <c r="Y25" i="1"/>
  <c r="Y26" i="1"/>
  <c r="Y27" i="1"/>
  <c r="Y28" i="1"/>
  <c r="Y29" i="1"/>
  <c r="Y30" i="1"/>
  <c r="Y31" i="1"/>
  <c r="Y32" i="1"/>
  <c r="Y33" i="1"/>
  <c r="Y34" i="1"/>
  <c r="AE34" i="1"/>
  <c r="Y35" i="1"/>
  <c r="AE35" i="1" s="1"/>
  <c r="Y36" i="1"/>
  <c r="Y37" i="1"/>
  <c r="Y38" i="1"/>
  <c r="Y39" i="1"/>
  <c r="Y40" i="1"/>
  <c r="Y41" i="1"/>
  <c r="Y42" i="1"/>
  <c r="Y43" i="1"/>
  <c r="AE43" i="1" s="1"/>
  <c r="Y44" i="1"/>
  <c r="AE44" i="1" s="1"/>
  <c r="Y45" i="1"/>
  <c r="AE45" i="1" s="1"/>
  <c r="Y46" i="1"/>
  <c r="T9" i="1"/>
  <c r="AD9" i="1" s="1"/>
  <c r="Y9" i="1"/>
  <c r="O9" i="1"/>
  <c r="H9" i="1"/>
  <c r="F9" i="1"/>
  <c r="G9" i="1" s="1"/>
  <c r="AB46" i="1"/>
  <c r="AB45" i="1"/>
  <c r="AC45" i="1"/>
  <c r="AD45" i="1"/>
  <c r="B132" i="1"/>
  <c r="AB9" i="1"/>
  <c r="AB10" i="1"/>
  <c r="AB11" i="1"/>
  <c r="AB12" i="1"/>
  <c r="AB13" i="1"/>
  <c r="AB14" i="1"/>
  <c r="AB15" i="1"/>
  <c r="AB16" i="1"/>
  <c r="AB17" i="1"/>
  <c r="AB18" i="1"/>
  <c r="G19" i="1"/>
  <c r="AB19" i="1"/>
  <c r="AD19" i="1"/>
  <c r="AB20" i="1"/>
  <c r="AD20" i="1"/>
  <c r="AB21" i="1"/>
  <c r="AB22" i="1"/>
  <c r="G24" i="1"/>
  <c r="AB24" i="1"/>
  <c r="AB25" i="1"/>
  <c r="AB26" i="1"/>
  <c r="AC26" i="1"/>
  <c r="AB27" i="1"/>
  <c r="AB28" i="1"/>
  <c r="AB29" i="1"/>
  <c r="AB30" i="1"/>
  <c r="AB31" i="1"/>
  <c r="AB32" i="1"/>
  <c r="AD32" i="1"/>
  <c r="AB33" i="1"/>
  <c r="AB34" i="1"/>
  <c r="AB35" i="1"/>
  <c r="G36" i="1"/>
  <c r="AB36" i="1"/>
  <c r="AB37" i="1"/>
  <c r="AB38" i="1"/>
  <c r="AC38" i="1"/>
  <c r="AB39" i="1"/>
  <c r="AB40" i="1"/>
  <c r="AB41" i="1"/>
  <c r="AB42" i="1"/>
  <c r="AC42" i="1"/>
  <c r="AB43" i="1"/>
  <c r="AC43" i="1"/>
  <c r="AB44" i="1"/>
  <c r="AB59" i="1"/>
  <c r="AC9" i="1"/>
  <c r="AE9" i="1"/>
  <c r="Y60" i="1"/>
  <c r="Y61" i="1" s="1"/>
  <c r="F60" i="1"/>
  <c r="G60" i="1" s="1"/>
  <c r="R74" i="1" l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AC72" i="1"/>
  <c r="AE31" i="1"/>
  <c r="AE36" i="1"/>
  <c r="AE32" i="1"/>
  <c r="H60" i="1"/>
  <c r="AE39" i="1"/>
  <c r="AE30" i="1"/>
  <c r="AE25" i="1"/>
  <c r="AE14" i="1"/>
  <c r="O60" i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AE10" i="1"/>
  <c r="AE26" i="1"/>
  <c r="AE15" i="1"/>
  <c r="AE38" i="1"/>
  <c r="AE24" i="1"/>
  <c r="AE47" i="1"/>
  <c r="AE46" i="1"/>
  <c r="F61" i="1"/>
  <c r="G61" i="1" s="1"/>
  <c r="T60" i="1"/>
  <c r="T61" i="1" s="1"/>
  <c r="AE33" i="1"/>
  <c r="AE12" i="1"/>
  <c r="AE27" i="1"/>
  <c r="AE42" i="1"/>
  <c r="AB61" i="1"/>
  <c r="AB60" i="1"/>
  <c r="F51" i="1"/>
  <c r="G51" i="1" s="1"/>
  <c r="AE41" i="1"/>
  <c r="AE20" i="1"/>
  <c r="H61" i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AE60" i="1"/>
  <c r="AE51" i="1"/>
  <c r="Y62" i="1"/>
  <c r="AB65" i="1"/>
  <c r="K66" i="1"/>
  <c r="D75" i="1"/>
  <c r="AB62" i="1"/>
  <c r="AE19" i="1"/>
  <c r="F62" i="1"/>
  <c r="AB64" i="1"/>
  <c r="AE59" i="1"/>
  <c r="T51" i="1"/>
  <c r="M62" i="1"/>
  <c r="AB63" i="1"/>
  <c r="H51" i="1"/>
  <c r="L65" i="1"/>
  <c r="O51" i="1"/>
  <c r="AC51" i="1" s="1"/>
  <c r="AD60" i="1" l="1"/>
  <c r="AC61" i="1"/>
  <c r="AC60" i="1"/>
  <c r="AE62" i="1"/>
  <c r="Y63" i="1"/>
  <c r="M63" i="1"/>
  <c r="AC62" i="1"/>
  <c r="D76" i="1"/>
  <c r="AD61" i="1"/>
  <c r="T62" i="1"/>
  <c r="L66" i="1"/>
  <c r="K67" i="1"/>
  <c r="AB66" i="1"/>
  <c r="F63" i="1"/>
  <c r="G62" i="1"/>
  <c r="AE61" i="1"/>
  <c r="L67" i="1" l="1"/>
  <c r="D77" i="1"/>
  <c r="F64" i="1"/>
  <c r="G63" i="1"/>
  <c r="M64" i="1"/>
  <c r="AC63" i="1"/>
  <c r="AE63" i="1"/>
  <c r="Y64" i="1"/>
  <c r="T63" i="1"/>
  <c r="AD62" i="1"/>
  <c r="K68" i="1"/>
  <c r="AB67" i="1"/>
  <c r="M65" i="1" l="1"/>
  <c r="AC64" i="1"/>
  <c r="F65" i="1"/>
  <c r="G64" i="1"/>
  <c r="K69" i="1"/>
  <c r="AB68" i="1"/>
  <c r="D78" i="1"/>
  <c r="AE64" i="1"/>
  <c r="Y65" i="1"/>
  <c r="T64" i="1"/>
  <c r="AD63" i="1"/>
  <c r="L68" i="1"/>
  <c r="L69" i="1" l="1"/>
  <c r="T65" i="1"/>
  <c r="AD64" i="1"/>
  <c r="Y66" i="1"/>
  <c r="AE65" i="1"/>
  <c r="D79" i="1"/>
  <c r="K70" i="1"/>
  <c r="AB69" i="1"/>
  <c r="F66" i="1"/>
  <c r="G65" i="1"/>
  <c r="M66" i="1"/>
  <c r="AC65" i="1"/>
  <c r="M67" i="1" l="1"/>
  <c r="AC66" i="1"/>
  <c r="AD65" i="1"/>
  <c r="T66" i="1"/>
  <c r="F67" i="1"/>
  <c r="G66" i="1"/>
  <c r="L70" i="1"/>
  <c r="K71" i="1"/>
  <c r="AB70" i="1"/>
  <c r="D80" i="1"/>
  <c r="AE66" i="1"/>
  <c r="Y67" i="1"/>
  <c r="G67" i="1" l="1"/>
  <c r="F68" i="1"/>
  <c r="AE67" i="1"/>
  <c r="Y68" i="1"/>
  <c r="AD66" i="1"/>
  <c r="T67" i="1"/>
  <c r="D81" i="1"/>
  <c r="M68" i="1"/>
  <c r="AC67" i="1"/>
  <c r="AB71" i="1"/>
  <c r="L71" i="1"/>
  <c r="M69" i="1" l="1"/>
  <c r="AC68" i="1"/>
  <c r="D82" i="1"/>
  <c r="T68" i="1"/>
  <c r="AD67" i="1"/>
  <c r="AE68" i="1"/>
  <c r="Y69" i="1"/>
  <c r="G68" i="1"/>
  <c r="F69" i="1"/>
  <c r="K74" i="1"/>
  <c r="AB73" i="1"/>
  <c r="L74" i="1" l="1"/>
  <c r="AE69" i="1"/>
  <c r="Y70" i="1"/>
  <c r="AD68" i="1"/>
  <c r="T69" i="1"/>
  <c r="K75" i="1"/>
  <c r="AB74" i="1"/>
  <c r="D83" i="1"/>
  <c r="F70" i="1"/>
  <c r="G69" i="1"/>
  <c r="M70" i="1"/>
  <c r="AC69" i="1"/>
  <c r="D84" i="1" l="1"/>
  <c r="K76" i="1"/>
  <c r="AB75" i="1"/>
  <c r="T70" i="1"/>
  <c r="AD69" i="1"/>
  <c r="AE70" i="1"/>
  <c r="Y71" i="1"/>
  <c r="M71" i="1"/>
  <c r="AC70" i="1"/>
  <c r="L75" i="1"/>
  <c r="F71" i="1"/>
  <c r="G70" i="1"/>
  <c r="AC71" i="1" l="1"/>
  <c r="AE71" i="1"/>
  <c r="T71" i="1"/>
  <c r="AD70" i="1"/>
  <c r="G71" i="1"/>
  <c r="K77" i="1"/>
  <c r="AB76" i="1"/>
  <c r="L76" i="1"/>
  <c r="D85" i="1"/>
  <c r="K78" i="1" l="1"/>
  <c r="AB77" i="1"/>
  <c r="G73" i="1"/>
  <c r="F74" i="1"/>
  <c r="AD71" i="1"/>
  <c r="Y74" i="1"/>
  <c r="AE73" i="1"/>
  <c r="D86" i="1"/>
  <c r="L77" i="1"/>
  <c r="M74" i="1"/>
  <c r="AC73" i="1"/>
  <c r="L78" i="1" l="1"/>
  <c r="D87" i="1"/>
  <c r="AE74" i="1"/>
  <c r="Y75" i="1"/>
  <c r="T74" i="1"/>
  <c r="F75" i="1"/>
  <c r="G74" i="1"/>
  <c r="M75" i="1"/>
  <c r="AC74" i="1"/>
  <c r="K79" i="1"/>
  <c r="AB78" i="1"/>
  <c r="F76" i="1" l="1"/>
  <c r="G75" i="1"/>
  <c r="T75" i="1"/>
  <c r="AE75" i="1"/>
  <c r="Y76" i="1"/>
  <c r="AB79" i="1"/>
  <c r="K80" i="1"/>
  <c r="D88" i="1"/>
  <c r="L79" i="1"/>
  <c r="M76" i="1"/>
  <c r="AC75" i="1"/>
  <c r="D89" i="1" l="1"/>
  <c r="K81" i="1"/>
  <c r="AB80" i="1"/>
  <c r="Y77" i="1"/>
  <c r="AE76" i="1"/>
  <c r="M77" i="1"/>
  <c r="AC76" i="1"/>
  <c r="T76" i="1"/>
  <c r="L80" i="1"/>
  <c r="F77" i="1"/>
  <c r="G76" i="1"/>
  <c r="T77" i="1" l="1"/>
  <c r="M78" i="1"/>
  <c r="AC77" i="1"/>
  <c r="AE77" i="1"/>
  <c r="Y78" i="1"/>
  <c r="F78" i="1"/>
  <c r="G77" i="1"/>
  <c r="AB81" i="1"/>
  <c r="K82" i="1"/>
  <c r="L81" i="1"/>
  <c r="D90" i="1"/>
  <c r="K83" i="1" l="1"/>
  <c r="AB82" i="1"/>
  <c r="F79" i="1"/>
  <c r="G78" i="1"/>
  <c r="AE78" i="1"/>
  <c r="Y79" i="1"/>
  <c r="D91" i="1"/>
  <c r="M79" i="1"/>
  <c r="AC78" i="1"/>
  <c r="L82" i="1"/>
  <c r="T78" i="1"/>
  <c r="D92" i="1" l="1"/>
  <c r="Y80" i="1"/>
  <c r="AE79" i="1"/>
  <c r="T79" i="1"/>
  <c r="F80" i="1"/>
  <c r="G79" i="1"/>
  <c r="L83" i="1"/>
  <c r="AB83" i="1"/>
  <c r="K84" i="1"/>
  <c r="M80" i="1"/>
  <c r="AC79" i="1"/>
  <c r="L84" i="1" l="1"/>
  <c r="F81" i="1"/>
  <c r="G80" i="1"/>
  <c r="T80" i="1"/>
  <c r="M81" i="1"/>
  <c r="AC80" i="1"/>
  <c r="Y81" i="1"/>
  <c r="AE80" i="1"/>
  <c r="K85" i="1"/>
  <c r="AB84" i="1"/>
  <c r="D93" i="1"/>
  <c r="Y82" i="1" l="1"/>
  <c r="AE81" i="1"/>
  <c r="M82" i="1"/>
  <c r="AC81" i="1"/>
  <c r="T81" i="1"/>
  <c r="D94" i="1"/>
  <c r="F82" i="1"/>
  <c r="G81" i="1"/>
  <c r="AB85" i="1"/>
  <c r="K86" i="1"/>
  <c r="L85" i="1"/>
  <c r="F83" i="1" l="1"/>
  <c r="G82" i="1"/>
  <c r="D95" i="1"/>
  <c r="T82" i="1"/>
  <c r="L86" i="1"/>
  <c r="M83" i="1"/>
  <c r="AC82" i="1"/>
  <c r="AB86" i="1"/>
  <c r="K87" i="1"/>
  <c r="AE82" i="1"/>
  <c r="Y83" i="1"/>
  <c r="L87" i="1" l="1"/>
  <c r="T83" i="1"/>
  <c r="Y84" i="1"/>
  <c r="AE83" i="1"/>
  <c r="D96" i="1"/>
  <c r="AB87" i="1"/>
  <c r="K88" i="1"/>
  <c r="F84" i="1"/>
  <c r="G83" i="1"/>
  <c r="M84" i="1"/>
  <c r="AC83" i="1"/>
  <c r="D97" i="1" l="1"/>
  <c r="Y85" i="1"/>
  <c r="AE84" i="1"/>
  <c r="M85" i="1"/>
  <c r="AC84" i="1"/>
  <c r="T84" i="1"/>
  <c r="L88" i="1"/>
  <c r="F85" i="1"/>
  <c r="G84" i="1"/>
  <c r="K89" i="1"/>
  <c r="AB88" i="1"/>
  <c r="L89" i="1" l="1"/>
  <c r="AE85" i="1"/>
  <c r="Y86" i="1"/>
  <c r="T85" i="1"/>
  <c r="M86" i="1"/>
  <c r="AC85" i="1"/>
  <c r="K90" i="1"/>
  <c r="AB89" i="1"/>
  <c r="F86" i="1"/>
  <c r="G85" i="1"/>
  <c r="D98" i="1"/>
  <c r="AB90" i="1" l="1"/>
  <c r="K91" i="1"/>
  <c r="M87" i="1"/>
  <c r="AC86" i="1"/>
  <c r="T86" i="1"/>
  <c r="D99" i="1"/>
  <c r="Y87" i="1"/>
  <c r="AE86" i="1"/>
  <c r="L90" i="1"/>
  <c r="F87" i="1"/>
  <c r="G86" i="1"/>
  <c r="Y88" i="1" l="1"/>
  <c r="AE87" i="1"/>
  <c r="T87" i="1"/>
  <c r="F88" i="1"/>
  <c r="G87" i="1"/>
  <c r="M88" i="1"/>
  <c r="AC87" i="1"/>
  <c r="L91" i="1"/>
  <c r="AB91" i="1"/>
  <c r="K92" i="1"/>
  <c r="M89" i="1" l="1"/>
  <c r="AC88" i="1"/>
  <c r="T88" i="1"/>
  <c r="L92" i="1"/>
  <c r="AB92" i="1"/>
  <c r="K93" i="1"/>
  <c r="F89" i="1"/>
  <c r="G88" i="1"/>
  <c r="Y89" i="1"/>
  <c r="AE88" i="1"/>
  <c r="F90" i="1" l="1"/>
  <c r="G89" i="1"/>
  <c r="AB93" i="1"/>
  <c r="K94" i="1"/>
  <c r="L93" i="1"/>
  <c r="T89" i="1"/>
  <c r="AE89" i="1"/>
  <c r="Y90" i="1"/>
  <c r="M90" i="1"/>
  <c r="AC89" i="1"/>
  <c r="Y91" i="1" l="1"/>
  <c r="AE90" i="1"/>
  <c r="T90" i="1"/>
  <c r="L94" i="1"/>
  <c r="K95" i="1"/>
  <c r="AB94" i="1"/>
  <c r="M91" i="1"/>
  <c r="AC90" i="1"/>
  <c r="F91" i="1"/>
  <c r="G90" i="1"/>
  <c r="AB95" i="1" l="1"/>
  <c r="K96" i="1"/>
  <c r="L95" i="1"/>
  <c r="T91" i="1"/>
  <c r="F92" i="1"/>
  <c r="G91" i="1"/>
  <c r="AE91" i="1"/>
  <c r="Y92" i="1"/>
  <c r="M92" i="1"/>
  <c r="AC91" i="1"/>
  <c r="F93" i="1" l="1"/>
  <c r="G92" i="1"/>
  <c r="T92" i="1"/>
  <c r="L96" i="1"/>
  <c r="AB96" i="1"/>
  <c r="K97" i="1"/>
  <c r="M93" i="1"/>
  <c r="AC92" i="1"/>
  <c r="Y93" i="1"/>
  <c r="AE92" i="1"/>
  <c r="M94" i="1" l="1"/>
  <c r="AC93" i="1"/>
  <c r="AB97" i="1"/>
  <c r="K98" i="1"/>
  <c r="L97" i="1"/>
  <c r="T93" i="1"/>
  <c r="Y94" i="1"/>
  <c r="AE93" i="1"/>
  <c r="F94" i="1"/>
  <c r="G93" i="1"/>
  <c r="Y95" i="1" l="1"/>
  <c r="AE94" i="1"/>
  <c r="T94" i="1"/>
  <c r="L98" i="1"/>
  <c r="K99" i="1"/>
  <c r="AB99" i="1" s="1"/>
  <c r="AB98" i="1"/>
  <c r="F95" i="1"/>
  <c r="G94" i="1"/>
  <c r="M95" i="1"/>
  <c r="AC94" i="1"/>
  <c r="F96" i="1" l="1"/>
  <c r="G95" i="1"/>
  <c r="L99" i="1"/>
  <c r="T95" i="1"/>
  <c r="M96" i="1"/>
  <c r="AC95" i="1"/>
  <c r="AE95" i="1"/>
  <c r="Y96" i="1"/>
  <c r="Y97" i="1" l="1"/>
  <c r="AE96" i="1"/>
  <c r="M97" i="1"/>
  <c r="AC96" i="1"/>
  <c r="T96" i="1"/>
  <c r="F97" i="1"/>
  <c r="G96" i="1"/>
  <c r="F98" i="1" l="1"/>
  <c r="G97" i="1"/>
  <c r="T97" i="1"/>
  <c r="M98" i="1"/>
  <c r="AC97" i="1"/>
  <c r="Y98" i="1"/>
  <c r="AE97" i="1"/>
  <c r="AE98" i="1" l="1"/>
  <c r="Y99" i="1"/>
  <c r="AE99" i="1" s="1"/>
  <c r="M99" i="1"/>
  <c r="AC99" i="1" s="1"/>
  <c r="AC98" i="1"/>
  <c r="T98" i="1"/>
  <c r="F99" i="1"/>
  <c r="G99" i="1" s="1"/>
  <c r="G98" i="1"/>
  <c r="T99" i="1" l="1"/>
</calcChain>
</file>

<file path=xl/sharedStrings.xml><?xml version="1.0" encoding="utf-8"?>
<sst xmlns="http://schemas.openxmlformats.org/spreadsheetml/2006/main" count="175" uniqueCount="85">
  <si>
    <t>Mike Zwilling</t>
  </si>
  <si>
    <t>Updated</t>
  </si>
  <si>
    <t>Lifetime Softball Statistics</t>
  </si>
  <si>
    <t>Year</t>
  </si>
  <si>
    <t>W</t>
  </si>
  <si>
    <t>L</t>
  </si>
  <si>
    <t>NG</t>
  </si>
  <si>
    <t>Pct</t>
  </si>
  <si>
    <t>PA</t>
  </si>
  <si>
    <t>AB</t>
  </si>
  <si>
    <t>R</t>
  </si>
  <si>
    <t>H</t>
  </si>
  <si>
    <t>PO</t>
  </si>
  <si>
    <t>A</t>
  </si>
  <si>
    <t>E</t>
  </si>
  <si>
    <t>FCh</t>
  </si>
  <si>
    <t>1B</t>
  </si>
  <si>
    <t>2B</t>
  </si>
  <si>
    <t>3B</t>
  </si>
  <si>
    <t>HR</t>
  </si>
  <si>
    <t>TB</t>
  </si>
  <si>
    <t>Sac</t>
  </si>
  <si>
    <t>BB</t>
  </si>
  <si>
    <t>K</t>
  </si>
  <si>
    <t>SOE</t>
  </si>
  <si>
    <t>TOB</t>
  </si>
  <si>
    <t>IP</t>
  </si>
  <si>
    <t>RBI</t>
  </si>
  <si>
    <t>BA</t>
  </si>
  <si>
    <t>FA</t>
  </si>
  <si>
    <t>SA</t>
  </si>
  <si>
    <t>OBPct</t>
  </si>
  <si>
    <t>Bridgeport Merchants</t>
  </si>
  <si>
    <t>Steve Andrews</t>
  </si>
  <si>
    <t>Larry Beasley</t>
  </si>
  <si>
    <t>Cumulative Totals</t>
  </si>
  <si>
    <t>W - Wins</t>
  </si>
  <si>
    <t>L - Losses</t>
  </si>
  <si>
    <t>NG - Number of Games</t>
  </si>
  <si>
    <t>Pct  - Percentage</t>
  </si>
  <si>
    <t>PA - Plate Appearances</t>
  </si>
  <si>
    <t>AB - At Bats</t>
  </si>
  <si>
    <t>R - Runs</t>
  </si>
  <si>
    <t>H - Hits</t>
  </si>
  <si>
    <t>PO - Put Outs</t>
  </si>
  <si>
    <t>A - Assists</t>
  </si>
  <si>
    <t>E - Errors</t>
  </si>
  <si>
    <t>FCh - Fielding Chances</t>
  </si>
  <si>
    <t>1B - Singles</t>
  </si>
  <si>
    <t>2B - Doubles</t>
  </si>
  <si>
    <t>3B - Triples</t>
  </si>
  <si>
    <t>HR - Home Runs</t>
  </si>
  <si>
    <t>TB - Total Bases</t>
  </si>
  <si>
    <t>Sac - Sacrifices</t>
  </si>
  <si>
    <t>BB - Base on Balls</t>
  </si>
  <si>
    <t>K - Strike outs</t>
  </si>
  <si>
    <t>SOE - Safe On Error or fielder's choice</t>
  </si>
  <si>
    <t>TOB - Times On Base</t>
  </si>
  <si>
    <t>IP - Innings Played</t>
  </si>
  <si>
    <t>RBI - Runs Batted In</t>
  </si>
  <si>
    <t>BA - Batting Average</t>
  </si>
  <si>
    <t>FA - Fielding Average</t>
  </si>
  <si>
    <t>SA - Slugging Average</t>
  </si>
  <si>
    <t>OBPct - On Base Percentage</t>
  </si>
  <si>
    <t>Dene's Marathon</t>
  </si>
  <si>
    <t>Sumner Merchants</t>
  </si>
  <si>
    <t>Bayles-Medder</t>
  </si>
  <si>
    <t>Charleston Lumber</t>
  </si>
  <si>
    <t>Kurland Steel</t>
  </si>
  <si>
    <t>St. Joe's Pros</t>
  </si>
  <si>
    <t>Harry Jerald Agency</t>
  </si>
  <si>
    <t>St. Joe's Owls</t>
  </si>
  <si>
    <t>St. Joe's Hippos</t>
  </si>
  <si>
    <t>St. Joe's Rhinos</t>
  </si>
  <si>
    <t>Lifetime Totals</t>
  </si>
  <si>
    <t>Dene Waldrop</t>
  </si>
  <si>
    <t>Jess Brian</t>
  </si>
  <si>
    <t>Mel Medder</t>
  </si>
  <si>
    <t>Dave Powers</t>
  </si>
  <si>
    <t>Al Ratini</t>
  </si>
  <si>
    <t>Joe Thiry</t>
  </si>
  <si>
    <t>Team</t>
  </si>
  <si>
    <t>Manager</t>
  </si>
  <si>
    <t>Harry Jerald Agency - season</t>
  </si>
  <si>
    <t>Harry Jerald Agency - tournaments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</si>
</sst>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0"/>
  </numFmts>
  <fonts count="4">
    <font>
      <sz val="12"/>
      <name val="Times"/>
    </font>
    <font>
      <sz val="8"/>
      <name val="Verdana"/>
      <family val="2"/>
    </font>
    <font>
      <sz val="10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E132"/>
  <sheetViews>
    <sheetView tabSelected="1" workbookViewId="0">
      <selection activeCell="AD52" sqref="AD52"/>
    </sheetView>
  </sheetViews>
  <sheetFormatPr baseColWidth="10" defaultColWidth="6.83203125" defaultRowHeight="20" customHeight="1"/>
  <cols>
    <col min="1" max="1" width="5.33203125" style="1" customWidth="1"/>
    <col min="2" max="2" width="31.83203125" style="1" customWidth="1"/>
    <col min="3" max="3" width="18.6640625" style="1" customWidth="1"/>
    <col min="4" max="6" width="6.83203125" style="1" customWidth="1"/>
    <col min="7" max="7" width="6.83203125" style="2" customWidth="1"/>
    <col min="8" max="8" width="6.83203125" style="1" customWidth="1"/>
    <col min="9" max="15" width="6.83203125" style="3" customWidth="1"/>
    <col min="16" max="19" width="5.83203125" style="3" customWidth="1"/>
    <col min="20" max="25" width="6.83203125" style="3" customWidth="1"/>
    <col min="26" max="26" width="6.83203125" style="4" customWidth="1"/>
    <col min="27" max="27" width="6.83203125" style="3" customWidth="1"/>
    <col min="28" max="31" width="6.83203125" style="2" customWidth="1"/>
    <col min="32" max="16384" width="6.83203125" style="1"/>
  </cols>
  <sheetData>
    <row r="3" spans="1:31" ht="20" customHeight="1">
      <c r="B3" s="10" t="s">
        <v>0</v>
      </c>
    </row>
    <row r="4" spans="1:31" ht="20" customHeight="1">
      <c r="B4" s="1" t="s">
        <v>2</v>
      </c>
    </row>
    <row r="7" spans="1:31" ht="20" customHeight="1">
      <c r="A7" s="3" t="s">
        <v>3</v>
      </c>
      <c r="B7" s="3" t="s">
        <v>81</v>
      </c>
      <c r="C7" s="3" t="s">
        <v>82</v>
      </c>
      <c r="D7" s="3" t="s">
        <v>4</v>
      </c>
      <c r="E7" s="3" t="s">
        <v>5</v>
      </c>
      <c r="F7" s="3" t="s">
        <v>6</v>
      </c>
      <c r="G7" s="5" t="s">
        <v>7</v>
      </c>
      <c r="H7" s="3" t="s">
        <v>8</v>
      </c>
      <c r="I7" s="3" t="s">
        <v>9</v>
      </c>
      <c r="J7" s="3" t="s">
        <v>10</v>
      </c>
      <c r="K7" s="3" t="s">
        <v>11</v>
      </c>
      <c r="L7" s="3" t="s">
        <v>12</v>
      </c>
      <c r="M7" s="3" t="s">
        <v>13</v>
      </c>
      <c r="N7" s="3" t="s">
        <v>14</v>
      </c>
      <c r="O7" s="3" t="s">
        <v>15</v>
      </c>
      <c r="P7" s="3" t="s">
        <v>16</v>
      </c>
      <c r="Q7" s="3" t="s">
        <v>17</v>
      </c>
      <c r="R7" s="3" t="s">
        <v>18</v>
      </c>
      <c r="S7" s="3" t="s">
        <v>19</v>
      </c>
      <c r="T7" s="3" t="s">
        <v>20</v>
      </c>
      <c r="U7" s="3" t="s">
        <v>21</v>
      </c>
      <c r="V7" s="3" t="s">
        <v>22</v>
      </c>
      <c r="W7" s="3" t="s">
        <v>23</v>
      </c>
      <c r="X7" s="3" t="s">
        <v>24</v>
      </c>
      <c r="Y7" s="3" t="s">
        <v>25</v>
      </c>
      <c r="Z7" s="4" t="s">
        <v>26</v>
      </c>
      <c r="AA7" s="3" t="s">
        <v>27</v>
      </c>
      <c r="AB7" s="5" t="s">
        <v>28</v>
      </c>
      <c r="AC7" s="5" t="s">
        <v>29</v>
      </c>
      <c r="AD7" s="5" t="s">
        <v>30</v>
      </c>
      <c r="AE7" s="5" t="s">
        <v>31</v>
      </c>
    </row>
    <row r="9" spans="1:31" ht="20" customHeight="1">
      <c r="A9" s="3">
        <v>72</v>
      </c>
      <c r="B9" s="3" t="s">
        <v>64</v>
      </c>
      <c r="C9" s="3" t="s">
        <v>75</v>
      </c>
      <c r="D9" s="3">
        <v>8</v>
      </c>
      <c r="E9" s="3">
        <v>6</v>
      </c>
      <c r="F9" s="3">
        <f t="shared" ref="F9:F44" si="0">D9+E9</f>
        <v>14</v>
      </c>
      <c r="G9" s="5">
        <f t="shared" ref="G9:G44" si="1">D9/F9</f>
        <v>0.5714285714285714</v>
      </c>
      <c r="H9" s="3">
        <f t="shared" ref="H9:H44" si="2">I9+U9+V9</f>
        <v>44</v>
      </c>
      <c r="I9" s="3">
        <v>43</v>
      </c>
      <c r="J9" s="3">
        <v>10</v>
      </c>
      <c r="K9" s="3">
        <v>18</v>
      </c>
      <c r="L9" s="3">
        <v>42</v>
      </c>
      <c r="M9" s="3">
        <v>18</v>
      </c>
      <c r="N9" s="3">
        <v>5</v>
      </c>
      <c r="O9" s="3">
        <f t="shared" ref="O9:O44" si="3">L9+M9+N9</f>
        <v>65</v>
      </c>
      <c r="P9" s="3">
        <v>15</v>
      </c>
      <c r="Q9" s="3">
        <v>2</v>
      </c>
      <c r="R9" s="3">
        <v>1</v>
      </c>
      <c r="S9" s="3">
        <v>0</v>
      </c>
      <c r="T9" s="3">
        <f t="shared" ref="T9:T44" si="4">P9+2*Q9+3*R9+4*S9</f>
        <v>22</v>
      </c>
      <c r="U9" s="3">
        <v>1</v>
      </c>
      <c r="V9" s="3">
        <v>0</v>
      </c>
      <c r="W9" s="3">
        <v>0</v>
      </c>
      <c r="X9" s="3">
        <v>6</v>
      </c>
      <c r="Y9" s="3">
        <f t="shared" ref="Y9:Y44" si="5">K9+V9+X9</f>
        <v>24</v>
      </c>
      <c r="Z9" s="4">
        <v>90</v>
      </c>
      <c r="AA9" s="3">
        <v>12</v>
      </c>
      <c r="AB9" s="2">
        <f t="shared" ref="AB9:AB44" si="6">K9/I9</f>
        <v>0.41860465116279072</v>
      </c>
      <c r="AC9" s="2">
        <f t="shared" ref="AC9:AC44" si="7">(L9+M9)/O9</f>
        <v>0.92307692307692313</v>
      </c>
      <c r="AD9" s="2">
        <f t="shared" ref="AD9:AD44" si="8">T9/I9</f>
        <v>0.51162790697674421</v>
      </c>
      <c r="AE9" s="2">
        <f t="shared" ref="AE9:AE44" si="9">Y9/H9</f>
        <v>0.54545454545454541</v>
      </c>
    </row>
    <row r="10" spans="1:31" ht="20" customHeight="1">
      <c r="A10" s="3">
        <v>73</v>
      </c>
      <c r="B10" s="3" t="s">
        <v>65</v>
      </c>
      <c r="C10" s="3" t="s">
        <v>76</v>
      </c>
      <c r="D10" s="3">
        <v>20</v>
      </c>
      <c r="E10" s="3">
        <v>14</v>
      </c>
      <c r="F10" s="3">
        <f t="shared" si="0"/>
        <v>34</v>
      </c>
      <c r="G10" s="5">
        <f t="shared" si="1"/>
        <v>0.58823529411764708</v>
      </c>
      <c r="H10" s="3">
        <f t="shared" si="2"/>
        <v>95</v>
      </c>
      <c r="I10" s="3">
        <v>87</v>
      </c>
      <c r="J10" s="3">
        <v>22</v>
      </c>
      <c r="K10" s="3">
        <v>34</v>
      </c>
      <c r="L10" s="3">
        <v>75</v>
      </c>
      <c r="M10" s="3">
        <v>9</v>
      </c>
      <c r="N10" s="3">
        <v>3</v>
      </c>
      <c r="O10" s="3">
        <f t="shared" si="3"/>
        <v>87</v>
      </c>
      <c r="P10" s="3">
        <v>24</v>
      </c>
      <c r="Q10" s="3">
        <v>7</v>
      </c>
      <c r="R10" s="3">
        <v>2</v>
      </c>
      <c r="S10" s="3">
        <v>1</v>
      </c>
      <c r="T10" s="3">
        <f t="shared" si="4"/>
        <v>48</v>
      </c>
      <c r="U10" s="3">
        <v>4</v>
      </c>
      <c r="V10" s="3">
        <v>4</v>
      </c>
      <c r="W10" s="3">
        <v>0</v>
      </c>
      <c r="X10" s="3">
        <v>8</v>
      </c>
      <c r="Y10" s="3">
        <f t="shared" si="5"/>
        <v>46</v>
      </c>
      <c r="Z10" s="4">
        <v>201.5</v>
      </c>
      <c r="AA10" s="3">
        <v>21</v>
      </c>
      <c r="AB10" s="2">
        <f t="shared" si="6"/>
        <v>0.39080459770114945</v>
      </c>
      <c r="AC10" s="2">
        <f t="shared" si="7"/>
        <v>0.96551724137931039</v>
      </c>
      <c r="AD10" s="2">
        <f t="shared" si="8"/>
        <v>0.55172413793103448</v>
      </c>
      <c r="AE10" s="2">
        <f t="shared" si="9"/>
        <v>0.48421052631578948</v>
      </c>
    </row>
    <row r="11" spans="1:31" ht="20" customHeight="1">
      <c r="A11" s="3">
        <v>74</v>
      </c>
      <c r="B11" s="3" t="s">
        <v>65</v>
      </c>
      <c r="C11" s="3" t="s">
        <v>76</v>
      </c>
      <c r="D11" s="3">
        <v>14</v>
      </c>
      <c r="E11" s="3">
        <v>16</v>
      </c>
      <c r="F11" s="3">
        <f t="shared" si="0"/>
        <v>30</v>
      </c>
      <c r="G11" s="5">
        <f t="shared" si="1"/>
        <v>0.46666666666666667</v>
      </c>
      <c r="H11" s="3">
        <f t="shared" si="2"/>
        <v>61</v>
      </c>
      <c r="I11" s="3">
        <v>58</v>
      </c>
      <c r="J11" s="3">
        <v>14</v>
      </c>
      <c r="K11" s="3">
        <v>28</v>
      </c>
      <c r="L11" s="3">
        <v>25</v>
      </c>
      <c r="M11" s="3">
        <v>24</v>
      </c>
      <c r="N11" s="3">
        <v>4</v>
      </c>
      <c r="O11" s="3">
        <f t="shared" si="3"/>
        <v>53</v>
      </c>
      <c r="P11" s="3">
        <v>26</v>
      </c>
      <c r="Q11" s="3">
        <v>2</v>
      </c>
      <c r="R11" s="3">
        <v>0</v>
      </c>
      <c r="S11" s="3">
        <v>0</v>
      </c>
      <c r="T11" s="3">
        <f t="shared" si="4"/>
        <v>30</v>
      </c>
      <c r="U11" s="3">
        <v>2</v>
      </c>
      <c r="V11" s="3">
        <v>1</v>
      </c>
      <c r="W11" s="3">
        <v>0</v>
      </c>
      <c r="X11" s="3">
        <v>7</v>
      </c>
      <c r="Y11" s="3">
        <f t="shared" si="5"/>
        <v>36</v>
      </c>
      <c r="Z11" s="4">
        <v>118</v>
      </c>
      <c r="AA11" s="3">
        <v>14</v>
      </c>
      <c r="AB11" s="2">
        <f t="shared" si="6"/>
        <v>0.48275862068965519</v>
      </c>
      <c r="AC11" s="2">
        <f t="shared" si="7"/>
        <v>0.92452830188679247</v>
      </c>
      <c r="AD11" s="2">
        <f t="shared" si="8"/>
        <v>0.51724137931034486</v>
      </c>
      <c r="AE11" s="2">
        <f t="shared" si="9"/>
        <v>0.5901639344262295</v>
      </c>
    </row>
    <row r="12" spans="1:31" ht="20" customHeight="1">
      <c r="A12" s="3">
        <v>75</v>
      </c>
      <c r="B12" s="3" t="s">
        <v>32</v>
      </c>
      <c r="C12" s="3" t="s">
        <v>33</v>
      </c>
      <c r="D12" s="3">
        <v>15</v>
      </c>
      <c r="E12" s="3">
        <v>12</v>
      </c>
      <c r="F12" s="3">
        <f t="shared" si="0"/>
        <v>27</v>
      </c>
      <c r="G12" s="5">
        <f t="shared" si="1"/>
        <v>0.55555555555555558</v>
      </c>
      <c r="H12" s="3">
        <f t="shared" si="2"/>
        <v>56</v>
      </c>
      <c r="I12" s="3">
        <v>55</v>
      </c>
      <c r="J12" s="3">
        <v>19</v>
      </c>
      <c r="K12" s="3">
        <v>26</v>
      </c>
      <c r="L12" s="3">
        <v>20</v>
      </c>
      <c r="M12" s="3">
        <v>11</v>
      </c>
      <c r="N12" s="3">
        <v>1</v>
      </c>
      <c r="O12" s="3">
        <f t="shared" si="3"/>
        <v>32</v>
      </c>
      <c r="P12" s="3">
        <v>25</v>
      </c>
      <c r="Q12" s="3">
        <v>1</v>
      </c>
      <c r="R12" s="3">
        <v>0</v>
      </c>
      <c r="S12" s="3">
        <v>0</v>
      </c>
      <c r="T12" s="3">
        <f t="shared" si="4"/>
        <v>27</v>
      </c>
      <c r="U12" s="3">
        <v>0</v>
      </c>
      <c r="V12" s="3">
        <v>1</v>
      </c>
      <c r="W12" s="3">
        <v>0</v>
      </c>
      <c r="X12" s="3">
        <v>6</v>
      </c>
      <c r="Y12" s="3">
        <f t="shared" si="5"/>
        <v>33</v>
      </c>
      <c r="Z12" s="4">
        <v>105</v>
      </c>
      <c r="AA12" s="3">
        <v>9</v>
      </c>
      <c r="AB12" s="2">
        <f t="shared" si="6"/>
        <v>0.47272727272727272</v>
      </c>
      <c r="AC12" s="2">
        <f t="shared" si="7"/>
        <v>0.96875</v>
      </c>
      <c r="AD12" s="2">
        <f t="shared" si="8"/>
        <v>0.49090909090909091</v>
      </c>
      <c r="AE12" s="2">
        <f t="shared" si="9"/>
        <v>0.5892857142857143</v>
      </c>
    </row>
    <row r="13" spans="1:31" ht="20" customHeight="1">
      <c r="A13" s="3">
        <v>75</v>
      </c>
      <c r="B13" s="3" t="s">
        <v>66</v>
      </c>
      <c r="C13" s="3" t="s">
        <v>77</v>
      </c>
      <c r="D13" s="3">
        <v>7</v>
      </c>
      <c r="E13" s="3">
        <v>10</v>
      </c>
      <c r="F13" s="3">
        <f t="shared" si="0"/>
        <v>17</v>
      </c>
      <c r="G13" s="5">
        <f t="shared" si="1"/>
        <v>0.41176470588235292</v>
      </c>
      <c r="H13" s="3">
        <f t="shared" si="2"/>
        <v>66</v>
      </c>
      <c r="I13" s="3">
        <v>59</v>
      </c>
      <c r="J13" s="3">
        <v>21</v>
      </c>
      <c r="K13" s="3">
        <v>33</v>
      </c>
      <c r="L13" s="3">
        <v>45</v>
      </c>
      <c r="M13" s="3">
        <v>5</v>
      </c>
      <c r="N13" s="3">
        <v>7</v>
      </c>
      <c r="O13" s="3">
        <f t="shared" si="3"/>
        <v>57</v>
      </c>
      <c r="P13" s="3">
        <v>28</v>
      </c>
      <c r="Q13" s="3">
        <v>5</v>
      </c>
      <c r="R13" s="3">
        <v>0</v>
      </c>
      <c r="S13" s="3">
        <v>0</v>
      </c>
      <c r="T13" s="3">
        <f t="shared" si="4"/>
        <v>38</v>
      </c>
      <c r="U13" s="3">
        <v>0</v>
      </c>
      <c r="V13" s="3">
        <v>7</v>
      </c>
      <c r="W13" s="3">
        <v>2</v>
      </c>
      <c r="X13" s="3">
        <v>4</v>
      </c>
      <c r="Y13" s="3">
        <f t="shared" si="5"/>
        <v>44</v>
      </c>
      <c r="Z13" s="4">
        <v>108.5</v>
      </c>
      <c r="AA13" s="3">
        <v>12</v>
      </c>
      <c r="AB13" s="2">
        <f t="shared" si="6"/>
        <v>0.55932203389830504</v>
      </c>
      <c r="AC13" s="2">
        <f t="shared" si="7"/>
        <v>0.8771929824561403</v>
      </c>
      <c r="AD13" s="2">
        <f t="shared" si="8"/>
        <v>0.64406779661016944</v>
      </c>
      <c r="AE13" s="2">
        <f t="shared" si="9"/>
        <v>0.66666666666666663</v>
      </c>
    </row>
    <row r="14" spans="1:31" ht="20" customHeight="1">
      <c r="A14" s="3">
        <v>76</v>
      </c>
      <c r="B14" s="3" t="s">
        <v>32</v>
      </c>
      <c r="C14" s="3" t="s">
        <v>33</v>
      </c>
      <c r="D14" s="3">
        <v>26</v>
      </c>
      <c r="E14" s="3">
        <v>16</v>
      </c>
      <c r="F14" s="3">
        <f t="shared" si="0"/>
        <v>42</v>
      </c>
      <c r="G14" s="5">
        <f t="shared" si="1"/>
        <v>0.61904761904761907</v>
      </c>
      <c r="H14" s="3">
        <f t="shared" si="2"/>
        <v>92</v>
      </c>
      <c r="I14" s="3">
        <v>82</v>
      </c>
      <c r="J14" s="3">
        <v>26</v>
      </c>
      <c r="K14" s="3">
        <v>42</v>
      </c>
      <c r="L14" s="3">
        <v>42</v>
      </c>
      <c r="M14" s="3">
        <v>44</v>
      </c>
      <c r="N14" s="3">
        <v>8</v>
      </c>
      <c r="O14" s="3">
        <f t="shared" si="3"/>
        <v>94</v>
      </c>
      <c r="P14" s="3">
        <v>35</v>
      </c>
      <c r="Q14" s="3">
        <v>7</v>
      </c>
      <c r="R14" s="3">
        <v>0</v>
      </c>
      <c r="S14" s="3">
        <v>0</v>
      </c>
      <c r="T14" s="3">
        <f t="shared" si="4"/>
        <v>49</v>
      </c>
      <c r="U14" s="3">
        <v>5</v>
      </c>
      <c r="V14" s="3">
        <v>5</v>
      </c>
      <c r="W14" s="3">
        <v>0</v>
      </c>
      <c r="X14" s="3">
        <v>10</v>
      </c>
      <c r="Y14" s="3">
        <f t="shared" si="5"/>
        <v>57</v>
      </c>
      <c r="Z14" s="4">
        <v>183</v>
      </c>
      <c r="AA14" s="3">
        <v>17</v>
      </c>
      <c r="AB14" s="2">
        <f t="shared" si="6"/>
        <v>0.51219512195121952</v>
      </c>
      <c r="AC14" s="2">
        <f t="shared" si="7"/>
        <v>0.91489361702127658</v>
      </c>
      <c r="AD14" s="2">
        <f t="shared" si="8"/>
        <v>0.59756097560975607</v>
      </c>
      <c r="AE14" s="2">
        <f t="shared" si="9"/>
        <v>0.61956521739130432</v>
      </c>
    </row>
    <row r="15" spans="1:31" ht="20" customHeight="1">
      <c r="A15" s="3">
        <v>76</v>
      </c>
      <c r="B15" s="3" t="s">
        <v>67</v>
      </c>
      <c r="C15" s="3" t="s">
        <v>34</v>
      </c>
      <c r="D15" s="3">
        <v>9</v>
      </c>
      <c r="E15" s="3">
        <v>10</v>
      </c>
      <c r="F15" s="3">
        <f t="shared" si="0"/>
        <v>19</v>
      </c>
      <c r="G15" s="5">
        <f t="shared" si="1"/>
        <v>0.47368421052631576</v>
      </c>
      <c r="H15" s="3">
        <f t="shared" si="2"/>
        <v>71</v>
      </c>
      <c r="I15" s="3">
        <v>68</v>
      </c>
      <c r="J15" s="3">
        <v>25</v>
      </c>
      <c r="K15" s="3">
        <v>32</v>
      </c>
      <c r="L15" s="3">
        <v>64</v>
      </c>
      <c r="M15" s="3">
        <v>2</v>
      </c>
      <c r="N15" s="3">
        <v>2</v>
      </c>
      <c r="O15" s="3">
        <f t="shared" si="3"/>
        <v>68</v>
      </c>
      <c r="P15" s="3">
        <v>18</v>
      </c>
      <c r="Q15" s="3">
        <v>10</v>
      </c>
      <c r="R15" s="3">
        <v>2</v>
      </c>
      <c r="S15" s="3">
        <v>2</v>
      </c>
      <c r="T15" s="3">
        <f t="shared" si="4"/>
        <v>52</v>
      </c>
      <c r="U15" s="3">
        <v>2</v>
      </c>
      <c r="V15" s="3">
        <v>1</v>
      </c>
      <c r="W15" s="3">
        <v>1</v>
      </c>
      <c r="X15" s="3">
        <v>8</v>
      </c>
      <c r="Y15" s="3">
        <f t="shared" si="5"/>
        <v>41</v>
      </c>
      <c r="Z15" s="4">
        <v>127.5</v>
      </c>
      <c r="AA15" s="3">
        <v>19</v>
      </c>
      <c r="AB15" s="2">
        <f t="shared" si="6"/>
        <v>0.47058823529411764</v>
      </c>
      <c r="AC15" s="2">
        <f t="shared" si="7"/>
        <v>0.97058823529411764</v>
      </c>
      <c r="AD15" s="2">
        <f t="shared" si="8"/>
        <v>0.76470588235294112</v>
      </c>
      <c r="AE15" s="2">
        <f t="shared" si="9"/>
        <v>0.57746478873239437</v>
      </c>
    </row>
    <row r="16" spans="1:31" ht="20" customHeight="1">
      <c r="A16" s="3">
        <v>77</v>
      </c>
      <c r="B16" s="3" t="s">
        <v>32</v>
      </c>
      <c r="C16" s="3" t="s">
        <v>33</v>
      </c>
      <c r="D16" s="3">
        <v>27</v>
      </c>
      <c r="E16" s="3">
        <v>17</v>
      </c>
      <c r="F16" s="3">
        <f t="shared" si="0"/>
        <v>44</v>
      </c>
      <c r="G16" s="5">
        <f t="shared" si="1"/>
        <v>0.61363636363636365</v>
      </c>
      <c r="H16" s="3">
        <f t="shared" si="2"/>
        <v>59</v>
      </c>
      <c r="I16" s="3">
        <v>58</v>
      </c>
      <c r="J16" s="3">
        <v>10</v>
      </c>
      <c r="K16" s="3">
        <v>21</v>
      </c>
      <c r="L16" s="3">
        <v>30</v>
      </c>
      <c r="M16" s="3">
        <v>17</v>
      </c>
      <c r="N16" s="3">
        <v>5</v>
      </c>
      <c r="O16" s="3">
        <f t="shared" si="3"/>
        <v>52</v>
      </c>
      <c r="P16" s="3">
        <v>19</v>
      </c>
      <c r="Q16" s="3">
        <v>2</v>
      </c>
      <c r="R16" s="3">
        <v>0</v>
      </c>
      <c r="S16" s="3">
        <v>0</v>
      </c>
      <c r="T16" s="3">
        <f t="shared" si="4"/>
        <v>23</v>
      </c>
      <c r="U16" s="3">
        <v>1</v>
      </c>
      <c r="V16" s="3">
        <v>0</v>
      </c>
      <c r="W16" s="3">
        <v>0</v>
      </c>
      <c r="X16" s="3">
        <v>8</v>
      </c>
      <c r="Y16" s="3">
        <f t="shared" si="5"/>
        <v>29</v>
      </c>
      <c r="Z16" s="4">
        <v>122</v>
      </c>
      <c r="AA16" s="3">
        <v>12</v>
      </c>
      <c r="AB16" s="2">
        <f t="shared" si="6"/>
        <v>0.36206896551724138</v>
      </c>
      <c r="AC16" s="2">
        <f t="shared" si="7"/>
        <v>0.90384615384615385</v>
      </c>
      <c r="AD16" s="2">
        <f t="shared" si="8"/>
        <v>0.39655172413793105</v>
      </c>
      <c r="AE16" s="2">
        <f t="shared" si="9"/>
        <v>0.49152542372881358</v>
      </c>
    </row>
    <row r="17" spans="1:31" ht="20" customHeight="1">
      <c r="A17" s="3">
        <v>77</v>
      </c>
      <c r="B17" s="3" t="s">
        <v>67</v>
      </c>
      <c r="C17" s="3" t="s">
        <v>34</v>
      </c>
      <c r="D17" s="3">
        <v>16</v>
      </c>
      <c r="E17" s="3">
        <v>7</v>
      </c>
      <c r="F17" s="3">
        <f t="shared" si="0"/>
        <v>23</v>
      </c>
      <c r="G17" s="5">
        <f t="shared" si="1"/>
        <v>0.69565217391304346</v>
      </c>
      <c r="H17" s="3">
        <f t="shared" si="2"/>
        <v>92</v>
      </c>
      <c r="I17" s="3">
        <v>89</v>
      </c>
      <c r="J17" s="3">
        <v>34</v>
      </c>
      <c r="K17" s="3">
        <v>47</v>
      </c>
      <c r="L17" s="3">
        <v>89</v>
      </c>
      <c r="M17" s="3">
        <v>5</v>
      </c>
      <c r="N17" s="3">
        <v>1</v>
      </c>
      <c r="O17" s="3">
        <f t="shared" si="3"/>
        <v>95</v>
      </c>
      <c r="P17" s="3">
        <v>34</v>
      </c>
      <c r="Q17" s="3">
        <v>11</v>
      </c>
      <c r="R17" s="3">
        <v>1</v>
      </c>
      <c r="S17" s="3">
        <v>1</v>
      </c>
      <c r="T17" s="3">
        <f t="shared" si="4"/>
        <v>63</v>
      </c>
      <c r="U17" s="3">
        <v>0</v>
      </c>
      <c r="V17" s="3">
        <v>3</v>
      </c>
      <c r="W17" s="3">
        <v>0</v>
      </c>
      <c r="X17" s="3">
        <v>5</v>
      </c>
      <c r="Y17" s="3">
        <f t="shared" si="5"/>
        <v>55</v>
      </c>
      <c r="Z17" s="4">
        <v>145</v>
      </c>
      <c r="AA17" s="3">
        <v>16</v>
      </c>
      <c r="AB17" s="2">
        <f t="shared" si="6"/>
        <v>0.5280898876404494</v>
      </c>
      <c r="AC17" s="2">
        <f t="shared" si="7"/>
        <v>0.98947368421052628</v>
      </c>
      <c r="AD17" s="2">
        <f t="shared" si="8"/>
        <v>0.7078651685393258</v>
      </c>
      <c r="AE17" s="2">
        <f t="shared" si="9"/>
        <v>0.59782608695652173</v>
      </c>
    </row>
    <row r="18" spans="1:31" ht="20" customHeight="1">
      <c r="A18" s="3">
        <v>78</v>
      </c>
      <c r="B18" s="3" t="s">
        <v>32</v>
      </c>
      <c r="C18" s="3" t="s">
        <v>33</v>
      </c>
      <c r="D18" s="3">
        <v>31</v>
      </c>
      <c r="E18" s="3">
        <v>20</v>
      </c>
      <c r="F18" s="3">
        <f t="shared" si="0"/>
        <v>51</v>
      </c>
      <c r="G18" s="5">
        <f t="shared" si="1"/>
        <v>0.60784313725490191</v>
      </c>
      <c r="H18" s="3">
        <f t="shared" si="2"/>
        <v>55</v>
      </c>
      <c r="I18" s="3">
        <v>51</v>
      </c>
      <c r="J18" s="3">
        <v>18</v>
      </c>
      <c r="K18" s="3">
        <v>27</v>
      </c>
      <c r="L18" s="3">
        <v>18</v>
      </c>
      <c r="M18" s="3">
        <v>17</v>
      </c>
      <c r="N18" s="3">
        <v>5</v>
      </c>
      <c r="O18" s="3">
        <f t="shared" si="3"/>
        <v>40</v>
      </c>
      <c r="P18" s="3">
        <v>23</v>
      </c>
      <c r="Q18" s="3">
        <v>4</v>
      </c>
      <c r="R18" s="3">
        <v>0</v>
      </c>
      <c r="S18" s="3">
        <v>0</v>
      </c>
      <c r="T18" s="3">
        <f t="shared" si="4"/>
        <v>31</v>
      </c>
      <c r="U18" s="3">
        <v>1</v>
      </c>
      <c r="V18" s="3">
        <v>3</v>
      </c>
      <c r="W18" s="3">
        <v>0</v>
      </c>
      <c r="X18" s="3">
        <v>7</v>
      </c>
      <c r="Y18" s="3">
        <f t="shared" si="5"/>
        <v>37</v>
      </c>
      <c r="Z18" s="4">
        <v>97</v>
      </c>
      <c r="AA18" s="3">
        <v>14</v>
      </c>
      <c r="AB18" s="2">
        <f t="shared" si="6"/>
        <v>0.52941176470588236</v>
      </c>
      <c r="AC18" s="2">
        <f t="shared" si="7"/>
        <v>0.875</v>
      </c>
      <c r="AD18" s="2">
        <f t="shared" si="8"/>
        <v>0.60784313725490191</v>
      </c>
      <c r="AE18" s="2">
        <f t="shared" si="9"/>
        <v>0.67272727272727273</v>
      </c>
    </row>
    <row r="19" spans="1:31" ht="20" customHeight="1">
      <c r="A19" s="3">
        <v>78</v>
      </c>
      <c r="B19" s="3" t="s">
        <v>67</v>
      </c>
      <c r="C19" s="3" t="s">
        <v>34</v>
      </c>
      <c r="D19" s="3">
        <v>7</v>
      </c>
      <c r="E19" s="3">
        <v>10</v>
      </c>
      <c r="F19" s="3">
        <f t="shared" si="0"/>
        <v>17</v>
      </c>
      <c r="G19" s="5">
        <f t="shared" si="1"/>
        <v>0.41176470588235292</v>
      </c>
      <c r="H19" s="3">
        <f t="shared" si="2"/>
        <v>59</v>
      </c>
      <c r="I19" s="3">
        <v>55</v>
      </c>
      <c r="J19" s="3">
        <v>24</v>
      </c>
      <c r="K19" s="3">
        <v>38</v>
      </c>
      <c r="L19" s="3">
        <v>35</v>
      </c>
      <c r="M19" s="3">
        <v>0</v>
      </c>
      <c r="N19" s="3">
        <v>0</v>
      </c>
      <c r="O19" s="3">
        <f t="shared" si="3"/>
        <v>35</v>
      </c>
      <c r="P19" s="3">
        <v>25</v>
      </c>
      <c r="Q19" s="3">
        <v>4</v>
      </c>
      <c r="R19" s="3">
        <v>5</v>
      </c>
      <c r="S19" s="3">
        <v>4</v>
      </c>
      <c r="T19" s="3">
        <f t="shared" si="4"/>
        <v>64</v>
      </c>
      <c r="U19" s="3">
        <v>1</v>
      </c>
      <c r="V19" s="3">
        <v>3</v>
      </c>
      <c r="W19" s="3">
        <v>1</v>
      </c>
      <c r="X19" s="3">
        <v>4</v>
      </c>
      <c r="Y19" s="3">
        <f t="shared" si="5"/>
        <v>45</v>
      </c>
      <c r="Z19" s="4">
        <v>91</v>
      </c>
      <c r="AA19" s="3">
        <v>25</v>
      </c>
      <c r="AB19" s="2">
        <f t="shared" si="6"/>
        <v>0.69090909090909092</v>
      </c>
      <c r="AC19" s="2">
        <f t="shared" si="7"/>
        <v>1</v>
      </c>
      <c r="AD19" s="2">
        <f t="shared" si="8"/>
        <v>1.1636363636363636</v>
      </c>
      <c r="AE19" s="2">
        <f t="shared" si="9"/>
        <v>0.76271186440677963</v>
      </c>
    </row>
    <row r="20" spans="1:31" ht="20" customHeight="1">
      <c r="A20" s="3">
        <v>79</v>
      </c>
      <c r="B20" s="3" t="s">
        <v>68</v>
      </c>
      <c r="C20" s="3" t="s">
        <v>78</v>
      </c>
      <c r="D20" s="3">
        <v>9</v>
      </c>
      <c r="E20" s="3">
        <v>10</v>
      </c>
      <c r="F20" s="3">
        <f t="shared" si="0"/>
        <v>19</v>
      </c>
      <c r="G20" s="5">
        <f t="shared" si="1"/>
        <v>0.47368421052631576</v>
      </c>
      <c r="H20" s="3">
        <f t="shared" si="2"/>
        <v>68</v>
      </c>
      <c r="I20" s="3">
        <v>63</v>
      </c>
      <c r="J20" s="3">
        <v>19</v>
      </c>
      <c r="K20" s="3">
        <v>37</v>
      </c>
      <c r="L20" s="3">
        <v>24</v>
      </c>
      <c r="M20" s="3">
        <v>3</v>
      </c>
      <c r="N20" s="3">
        <v>2</v>
      </c>
      <c r="O20" s="3">
        <f t="shared" si="3"/>
        <v>29</v>
      </c>
      <c r="P20" s="3">
        <v>34</v>
      </c>
      <c r="Q20" s="3">
        <v>1</v>
      </c>
      <c r="R20" s="3">
        <v>1</v>
      </c>
      <c r="S20" s="3">
        <v>1</v>
      </c>
      <c r="T20" s="3">
        <f t="shared" si="4"/>
        <v>43</v>
      </c>
      <c r="U20" s="3">
        <v>2</v>
      </c>
      <c r="V20" s="3">
        <v>3</v>
      </c>
      <c r="W20" s="3">
        <v>0</v>
      </c>
      <c r="X20" s="3">
        <v>10</v>
      </c>
      <c r="Y20" s="3">
        <f t="shared" si="5"/>
        <v>50</v>
      </c>
      <c r="Z20" s="4">
        <v>114</v>
      </c>
      <c r="AA20" s="3">
        <v>22</v>
      </c>
      <c r="AB20" s="2">
        <f t="shared" si="6"/>
        <v>0.58730158730158732</v>
      </c>
      <c r="AC20" s="2">
        <f t="shared" si="7"/>
        <v>0.93103448275862066</v>
      </c>
      <c r="AD20" s="2">
        <f t="shared" si="8"/>
        <v>0.68253968253968256</v>
      </c>
      <c r="AE20" s="2">
        <f t="shared" si="9"/>
        <v>0.73529411764705888</v>
      </c>
    </row>
    <row r="21" spans="1:31" ht="20" customHeight="1">
      <c r="A21" s="3">
        <v>80</v>
      </c>
      <c r="B21" s="3" t="s">
        <v>68</v>
      </c>
      <c r="C21" s="3" t="s">
        <v>78</v>
      </c>
      <c r="D21" s="3">
        <v>10</v>
      </c>
      <c r="E21" s="3">
        <v>8</v>
      </c>
      <c r="F21" s="3">
        <f t="shared" si="0"/>
        <v>18</v>
      </c>
      <c r="G21" s="5">
        <f t="shared" si="1"/>
        <v>0.55555555555555558</v>
      </c>
      <c r="H21" s="3">
        <f t="shared" si="2"/>
        <v>70</v>
      </c>
      <c r="I21" s="3">
        <v>66</v>
      </c>
      <c r="J21" s="3">
        <v>15</v>
      </c>
      <c r="K21" s="3">
        <v>30</v>
      </c>
      <c r="L21" s="3">
        <v>42</v>
      </c>
      <c r="M21" s="3">
        <v>7</v>
      </c>
      <c r="N21" s="3">
        <v>7</v>
      </c>
      <c r="O21" s="3">
        <f t="shared" si="3"/>
        <v>56</v>
      </c>
      <c r="P21" s="3">
        <v>27</v>
      </c>
      <c r="Q21" s="3">
        <v>2</v>
      </c>
      <c r="R21" s="3">
        <v>0</v>
      </c>
      <c r="S21" s="3">
        <v>1</v>
      </c>
      <c r="T21" s="3">
        <f t="shared" si="4"/>
        <v>35</v>
      </c>
      <c r="U21" s="3">
        <v>3</v>
      </c>
      <c r="V21" s="3">
        <v>1</v>
      </c>
      <c r="W21" s="3">
        <v>0</v>
      </c>
      <c r="X21" s="3">
        <v>8</v>
      </c>
      <c r="Y21" s="3">
        <f t="shared" si="5"/>
        <v>39</v>
      </c>
      <c r="Z21" s="4">
        <v>119.5</v>
      </c>
      <c r="AA21" s="3">
        <v>15</v>
      </c>
      <c r="AB21" s="2">
        <f t="shared" si="6"/>
        <v>0.45454545454545453</v>
      </c>
      <c r="AC21" s="2">
        <f t="shared" si="7"/>
        <v>0.875</v>
      </c>
      <c r="AD21" s="2">
        <f t="shared" si="8"/>
        <v>0.53030303030303028</v>
      </c>
      <c r="AE21" s="2">
        <f t="shared" si="9"/>
        <v>0.55714285714285716</v>
      </c>
    </row>
    <row r="22" spans="1:31" ht="20" customHeight="1">
      <c r="A22" s="3">
        <v>84</v>
      </c>
      <c r="B22" s="3" t="s">
        <v>69</v>
      </c>
      <c r="C22" s="3" t="s">
        <v>79</v>
      </c>
      <c r="D22" s="3">
        <v>11</v>
      </c>
      <c r="E22" s="3">
        <v>8</v>
      </c>
      <c r="F22" s="3">
        <f t="shared" si="0"/>
        <v>19</v>
      </c>
      <c r="G22" s="5">
        <f t="shared" si="1"/>
        <v>0.57894736842105265</v>
      </c>
      <c r="H22" s="3">
        <f t="shared" si="2"/>
        <v>56</v>
      </c>
      <c r="I22" s="3">
        <v>46</v>
      </c>
      <c r="J22" s="3">
        <v>14</v>
      </c>
      <c r="K22" s="3">
        <v>24</v>
      </c>
      <c r="L22" s="3">
        <v>23</v>
      </c>
      <c r="M22" s="3">
        <v>24</v>
      </c>
      <c r="N22" s="3">
        <v>3</v>
      </c>
      <c r="O22" s="3">
        <f t="shared" si="3"/>
        <v>50</v>
      </c>
      <c r="P22" s="3">
        <v>23</v>
      </c>
      <c r="Q22" s="3">
        <v>0</v>
      </c>
      <c r="R22" s="3">
        <v>1</v>
      </c>
      <c r="S22" s="3">
        <v>0</v>
      </c>
      <c r="T22" s="3">
        <f t="shared" si="4"/>
        <v>26</v>
      </c>
      <c r="U22" s="3">
        <v>5</v>
      </c>
      <c r="V22" s="3">
        <v>5</v>
      </c>
      <c r="W22" s="3">
        <v>0</v>
      </c>
      <c r="X22" s="3">
        <v>9</v>
      </c>
      <c r="Y22" s="3">
        <f t="shared" si="5"/>
        <v>38</v>
      </c>
      <c r="Z22" s="4">
        <v>111.5</v>
      </c>
      <c r="AA22" s="3">
        <v>13</v>
      </c>
      <c r="AB22" s="2">
        <f t="shared" si="6"/>
        <v>0.52173913043478259</v>
      </c>
      <c r="AC22" s="2">
        <f t="shared" si="7"/>
        <v>0.94</v>
      </c>
      <c r="AD22" s="2">
        <f t="shared" si="8"/>
        <v>0.56521739130434778</v>
      </c>
      <c r="AE22" s="2">
        <f t="shared" si="9"/>
        <v>0.6785714285714286</v>
      </c>
    </row>
    <row r="23" spans="1:31" ht="20" customHeight="1">
      <c r="A23" s="3">
        <v>84</v>
      </c>
      <c r="B23" s="3" t="s">
        <v>83</v>
      </c>
      <c r="C23" s="3" t="s">
        <v>80</v>
      </c>
      <c r="D23" s="3"/>
      <c r="E23" s="3"/>
      <c r="F23" s="3"/>
      <c r="G23" s="5"/>
      <c r="H23" s="3"/>
      <c r="I23" s="3">
        <v>46</v>
      </c>
      <c r="K23" s="3">
        <v>24</v>
      </c>
      <c r="L23" s="3">
        <v>23</v>
      </c>
      <c r="M23" s="3">
        <v>24</v>
      </c>
      <c r="N23" s="3">
        <v>3</v>
      </c>
      <c r="O23" s="3">
        <f t="shared" ref="O23" si="10">L23+M23+N23</f>
        <v>50</v>
      </c>
      <c r="AB23" s="2">
        <f t="shared" ref="AB23" si="11">K23/I23</f>
        <v>0.52173913043478259</v>
      </c>
      <c r="AC23" s="2">
        <f t="shared" ref="AC23" si="12">(L23+M23)/O23</f>
        <v>0.94</v>
      </c>
    </row>
    <row r="24" spans="1:31" ht="20" customHeight="1">
      <c r="A24" s="3">
        <v>84</v>
      </c>
      <c r="B24" s="3" t="s">
        <v>84</v>
      </c>
      <c r="C24" s="3" t="s">
        <v>80</v>
      </c>
      <c r="D24" s="3">
        <v>5</v>
      </c>
      <c r="E24" s="3">
        <v>4</v>
      </c>
      <c r="F24" s="3">
        <f t="shared" si="0"/>
        <v>9</v>
      </c>
      <c r="G24" s="5">
        <f t="shared" si="1"/>
        <v>0.55555555555555558</v>
      </c>
      <c r="H24" s="3">
        <f t="shared" si="2"/>
        <v>31</v>
      </c>
      <c r="I24" s="3">
        <v>28</v>
      </c>
      <c r="J24" s="3">
        <v>2</v>
      </c>
      <c r="K24" s="3">
        <v>12</v>
      </c>
      <c r="L24" s="3">
        <v>12</v>
      </c>
      <c r="M24" s="3">
        <v>9</v>
      </c>
      <c r="N24" s="3">
        <v>2</v>
      </c>
      <c r="O24" s="3">
        <f t="shared" si="3"/>
        <v>23</v>
      </c>
      <c r="P24" s="3">
        <v>12</v>
      </c>
      <c r="Q24" s="3">
        <v>0</v>
      </c>
      <c r="R24" s="3">
        <v>0</v>
      </c>
      <c r="S24" s="3">
        <v>0</v>
      </c>
      <c r="T24" s="3">
        <f t="shared" si="4"/>
        <v>12</v>
      </c>
      <c r="U24" s="3">
        <v>1</v>
      </c>
      <c r="V24" s="3">
        <v>2</v>
      </c>
      <c r="W24" s="3">
        <v>0</v>
      </c>
      <c r="X24" s="3">
        <v>1</v>
      </c>
      <c r="Y24" s="3">
        <f t="shared" si="5"/>
        <v>15</v>
      </c>
      <c r="Z24" s="4">
        <v>66</v>
      </c>
      <c r="AA24" s="3">
        <v>5</v>
      </c>
      <c r="AB24" s="2">
        <f t="shared" si="6"/>
        <v>0.42857142857142855</v>
      </c>
      <c r="AC24" s="2">
        <f t="shared" si="7"/>
        <v>0.91304347826086951</v>
      </c>
      <c r="AD24" s="2">
        <f t="shared" si="8"/>
        <v>0.42857142857142855</v>
      </c>
      <c r="AE24" s="2">
        <f t="shared" si="9"/>
        <v>0.4838709677419355</v>
      </c>
    </row>
    <row r="25" spans="1:31" ht="20" customHeight="1">
      <c r="A25" s="3">
        <v>85</v>
      </c>
      <c r="B25" s="3" t="s">
        <v>69</v>
      </c>
      <c r="C25" s="3" t="s">
        <v>79</v>
      </c>
      <c r="D25" s="3">
        <v>9</v>
      </c>
      <c r="E25" s="3">
        <v>7</v>
      </c>
      <c r="F25" s="3">
        <f t="shared" si="0"/>
        <v>16</v>
      </c>
      <c r="G25" s="5">
        <f t="shared" si="1"/>
        <v>0.5625</v>
      </c>
      <c r="H25" s="3">
        <f t="shared" si="2"/>
        <v>54</v>
      </c>
      <c r="I25" s="3">
        <v>51</v>
      </c>
      <c r="J25" s="3">
        <v>13</v>
      </c>
      <c r="K25" s="3">
        <v>19</v>
      </c>
      <c r="L25" s="3">
        <v>24</v>
      </c>
      <c r="M25" s="3">
        <v>17</v>
      </c>
      <c r="N25" s="3">
        <v>7</v>
      </c>
      <c r="O25" s="3">
        <f t="shared" si="3"/>
        <v>48</v>
      </c>
      <c r="P25" s="3">
        <v>16</v>
      </c>
      <c r="Q25" s="3">
        <v>2</v>
      </c>
      <c r="R25" s="3">
        <v>1</v>
      </c>
      <c r="S25" s="3">
        <v>0</v>
      </c>
      <c r="T25" s="3">
        <f t="shared" si="4"/>
        <v>23</v>
      </c>
      <c r="U25" s="3">
        <v>1</v>
      </c>
      <c r="V25" s="3">
        <v>2</v>
      </c>
      <c r="W25" s="3">
        <v>0</v>
      </c>
      <c r="X25" s="3">
        <v>6</v>
      </c>
      <c r="Y25" s="3">
        <f t="shared" si="5"/>
        <v>27</v>
      </c>
      <c r="Z25" s="4">
        <v>99.5</v>
      </c>
      <c r="AA25" s="3">
        <v>8</v>
      </c>
      <c r="AB25" s="2">
        <f t="shared" si="6"/>
        <v>0.37254901960784315</v>
      </c>
      <c r="AC25" s="2">
        <f t="shared" si="7"/>
        <v>0.85416666666666663</v>
      </c>
      <c r="AD25" s="2">
        <f t="shared" si="8"/>
        <v>0.45098039215686275</v>
      </c>
      <c r="AE25" s="2">
        <f t="shared" si="9"/>
        <v>0.5</v>
      </c>
    </row>
    <row r="26" spans="1:31" ht="20" customHeight="1">
      <c r="A26" s="3">
        <v>85</v>
      </c>
      <c r="B26" s="3" t="s">
        <v>70</v>
      </c>
      <c r="C26" s="3" t="s">
        <v>80</v>
      </c>
      <c r="D26" s="3">
        <v>1</v>
      </c>
      <c r="E26" s="3">
        <v>2</v>
      </c>
      <c r="F26" s="3">
        <f t="shared" si="0"/>
        <v>3</v>
      </c>
      <c r="G26" s="5">
        <f t="shared" si="1"/>
        <v>0.33333333333333331</v>
      </c>
      <c r="H26" s="3">
        <f t="shared" si="2"/>
        <v>11</v>
      </c>
      <c r="I26" s="3">
        <v>11</v>
      </c>
      <c r="J26" s="3">
        <v>1</v>
      </c>
      <c r="K26" s="3">
        <v>7</v>
      </c>
      <c r="L26" s="3">
        <v>2</v>
      </c>
      <c r="M26" s="3">
        <v>9</v>
      </c>
      <c r="N26" s="3">
        <v>0</v>
      </c>
      <c r="O26" s="3">
        <f t="shared" si="3"/>
        <v>11</v>
      </c>
      <c r="P26" s="3">
        <v>7</v>
      </c>
      <c r="Q26" s="3">
        <v>0</v>
      </c>
      <c r="R26" s="3">
        <v>0</v>
      </c>
      <c r="S26" s="3">
        <v>0</v>
      </c>
      <c r="T26" s="3">
        <f t="shared" si="4"/>
        <v>7</v>
      </c>
      <c r="U26" s="3">
        <v>0</v>
      </c>
      <c r="V26" s="3">
        <v>0</v>
      </c>
      <c r="W26" s="3">
        <v>0</v>
      </c>
      <c r="X26" s="3">
        <v>1</v>
      </c>
      <c r="Y26" s="3">
        <f t="shared" si="5"/>
        <v>8</v>
      </c>
      <c r="Z26" s="4">
        <v>21</v>
      </c>
      <c r="AA26" s="3">
        <v>3</v>
      </c>
      <c r="AB26" s="2">
        <f t="shared" si="6"/>
        <v>0.63636363636363635</v>
      </c>
      <c r="AC26" s="2">
        <f t="shared" si="7"/>
        <v>1</v>
      </c>
      <c r="AD26" s="2">
        <f t="shared" si="8"/>
        <v>0.63636363636363635</v>
      </c>
      <c r="AE26" s="2">
        <f t="shared" si="9"/>
        <v>0.72727272727272729</v>
      </c>
    </row>
    <row r="27" spans="1:31" ht="20" customHeight="1">
      <c r="A27" s="3">
        <v>86</v>
      </c>
      <c r="B27" s="3" t="s">
        <v>69</v>
      </c>
      <c r="C27" s="3" t="s">
        <v>79</v>
      </c>
      <c r="D27" s="3">
        <v>8</v>
      </c>
      <c r="E27" s="3">
        <v>12</v>
      </c>
      <c r="F27" s="3">
        <f t="shared" si="0"/>
        <v>20</v>
      </c>
      <c r="G27" s="5">
        <f t="shared" si="1"/>
        <v>0.4</v>
      </c>
      <c r="H27" s="3">
        <f t="shared" si="2"/>
        <v>49</v>
      </c>
      <c r="I27" s="3">
        <v>44</v>
      </c>
      <c r="J27" s="3">
        <v>13</v>
      </c>
      <c r="K27" s="3">
        <v>20</v>
      </c>
      <c r="L27" s="3">
        <v>26</v>
      </c>
      <c r="M27" s="3">
        <v>16</v>
      </c>
      <c r="N27" s="3">
        <v>0</v>
      </c>
      <c r="O27" s="3">
        <f t="shared" si="3"/>
        <v>42</v>
      </c>
      <c r="P27" s="3">
        <v>19</v>
      </c>
      <c r="Q27" s="3">
        <v>1</v>
      </c>
      <c r="R27" s="3">
        <v>0</v>
      </c>
      <c r="S27" s="3">
        <v>0</v>
      </c>
      <c r="T27" s="3">
        <f t="shared" si="4"/>
        <v>21</v>
      </c>
      <c r="U27" s="3">
        <v>0</v>
      </c>
      <c r="V27" s="3">
        <v>5</v>
      </c>
      <c r="W27" s="3">
        <v>0</v>
      </c>
      <c r="X27" s="3">
        <v>5</v>
      </c>
      <c r="Y27" s="3">
        <f t="shared" si="5"/>
        <v>30</v>
      </c>
      <c r="Z27" s="4">
        <v>100.5</v>
      </c>
      <c r="AA27" s="3">
        <v>6</v>
      </c>
      <c r="AB27" s="2">
        <f t="shared" si="6"/>
        <v>0.45454545454545453</v>
      </c>
      <c r="AC27" s="2">
        <f t="shared" si="7"/>
        <v>1</v>
      </c>
      <c r="AD27" s="2">
        <f t="shared" si="8"/>
        <v>0.47727272727272729</v>
      </c>
      <c r="AE27" s="2">
        <f t="shared" si="9"/>
        <v>0.61224489795918369</v>
      </c>
    </row>
    <row r="28" spans="1:31" ht="20" customHeight="1">
      <c r="A28" s="3">
        <v>86</v>
      </c>
      <c r="B28" s="3" t="s">
        <v>70</v>
      </c>
      <c r="C28" s="3" t="s">
        <v>80</v>
      </c>
      <c r="D28" s="3">
        <v>0</v>
      </c>
      <c r="E28" s="3">
        <v>2</v>
      </c>
      <c r="F28" s="3">
        <f t="shared" si="0"/>
        <v>2</v>
      </c>
      <c r="G28" s="5">
        <f t="shared" si="1"/>
        <v>0</v>
      </c>
      <c r="H28" s="3">
        <f t="shared" si="2"/>
        <v>6</v>
      </c>
      <c r="I28" s="3">
        <v>6</v>
      </c>
      <c r="J28" s="3">
        <v>0</v>
      </c>
      <c r="K28" s="3">
        <v>1</v>
      </c>
      <c r="L28" s="3">
        <v>7</v>
      </c>
      <c r="M28" s="3">
        <v>1</v>
      </c>
      <c r="N28" s="3">
        <v>0</v>
      </c>
      <c r="O28" s="3">
        <f t="shared" si="3"/>
        <v>8</v>
      </c>
      <c r="P28" s="3">
        <v>1</v>
      </c>
      <c r="Q28" s="3">
        <v>0</v>
      </c>
      <c r="R28" s="3">
        <v>0</v>
      </c>
      <c r="S28" s="3">
        <v>0</v>
      </c>
      <c r="T28" s="3">
        <f t="shared" si="4"/>
        <v>1</v>
      </c>
      <c r="U28" s="3">
        <v>0</v>
      </c>
      <c r="V28" s="3">
        <v>0</v>
      </c>
      <c r="W28" s="3">
        <v>0</v>
      </c>
      <c r="X28" s="3">
        <v>0</v>
      </c>
      <c r="Y28" s="3">
        <f t="shared" si="5"/>
        <v>1</v>
      </c>
      <c r="Z28" s="4">
        <v>14</v>
      </c>
      <c r="AA28" s="3">
        <v>1</v>
      </c>
      <c r="AB28" s="2">
        <f t="shared" si="6"/>
        <v>0.16666666666666666</v>
      </c>
      <c r="AC28" s="2">
        <f t="shared" si="7"/>
        <v>1</v>
      </c>
      <c r="AD28" s="2">
        <f t="shared" si="8"/>
        <v>0.16666666666666666</v>
      </c>
      <c r="AE28" s="2">
        <f t="shared" si="9"/>
        <v>0.16666666666666666</v>
      </c>
    </row>
    <row r="29" spans="1:31" ht="20" customHeight="1">
      <c r="A29" s="3">
        <v>87</v>
      </c>
      <c r="B29" s="3" t="s">
        <v>69</v>
      </c>
      <c r="C29" s="3" t="s">
        <v>79</v>
      </c>
      <c r="D29" s="3">
        <v>2</v>
      </c>
      <c r="E29" s="3">
        <v>17</v>
      </c>
      <c r="F29" s="3">
        <f t="shared" si="0"/>
        <v>19</v>
      </c>
      <c r="G29" s="5">
        <f t="shared" si="1"/>
        <v>0.10526315789473684</v>
      </c>
      <c r="H29" s="3">
        <f t="shared" si="2"/>
        <v>50</v>
      </c>
      <c r="I29" s="3">
        <v>44</v>
      </c>
      <c r="J29" s="3">
        <v>3</v>
      </c>
      <c r="K29" s="3">
        <v>12</v>
      </c>
      <c r="L29" s="3">
        <v>44</v>
      </c>
      <c r="M29" s="3">
        <v>22</v>
      </c>
      <c r="N29" s="3">
        <v>9</v>
      </c>
      <c r="O29" s="3">
        <f t="shared" si="3"/>
        <v>75</v>
      </c>
      <c r="P29" s="3">
        <v>11</v>
      </c>
      <c r="Q29" s="3">
        <v>1</v>
      </c>
      <c r="R29" s="3">
        <v>0</v>
      </c>
      <c r="S29" s="3">
        <v>0</v>
      </c>
      <c r="T29" s="3">
        <f t="shared" si="4"/>
        <v>13</v>
      </c>
      <c r="U29" s="3">
        <v>2</v>
      </c>
      <c r="V29" s="3">
        <v>4</v>
      </c>
      <c r="W29" s="3">
        <v>0</v>
      </c>
      <c r="X29" s="3">
        <v>6</v>
      </c>
      <c r="Y29" s="3">
        <f t="shared" si="5"/>
        <v>22</v>
      </c>
      <c r="Z29" s="4">
        <v>108.5</v>
      </c>
      <c r="AA29" s="3">
        <v>8</v>
      </c>
      <c r="AB29" s="2">
        <f t="shared" si="6"/>
        <v>0.27272727272727271</v>
      </c>
      <c r="AC29" s="2">
        <f t="shared" si="7"/>
        <v>0.88</v>
      </c>
      <c r="AD29" s="2">
        <f t="shared" si="8"/>
        <v>0.29545454545454547</v>
      </c>
      <c r="AE29" s="2">
        <f t="shared" si="9"/>
        <v>0.44</v>
      </c>
    </row>
    <row r="30" spans="1:31" ht="20" customHeight="1">
      <c r="A30" s="3">
        <v>88</v>
      </c>
      <c r="B30" s="3" t="s">
        <v>69</v>
      </c>
      <c r="C30" s="3" t="s">
        <v>79</v>
      </c>
      <c r="D30" s="3">
        <v>9</v>
      </c>
      <c r="E30" s="3">
        <v>8</v>
      </c>
      <c r="F30" s="3">
        <f t="shared" si="0"/>
        <v>17</v>
      </c>
      <c r="G30" s="5">
        <f t="shared" si="1"/>
        <v>0.52941176470588236</v>
      </c>
      <c r="H30" s="3">
        <f t="shared" si="2"/>
        <v>37</v>
      </c>
      <c r="I30" s="3">
        <v>35</v>
      </c>
      <c r="J30" s="3">
        <v>8</v>
      </c>
      <c r="K30" s="3">
        <v>15</v>
      </c>
      <c r="L30" s="3">
        <v>11</v>
      </c>
      <c r="M30" s="3">
        <v>13</v>
      </c>
      <c r="N30" s="3">
        <v>5</v>
      </c>
      <c r="O30" s="3">
        <f t="shared" si="3"/>
        <v>29</v>
      </c>
      <c r="P30" s="3">
        <v>15</v>
      </c>
      <c r="Q30" s="3">
        <v>0</v>
      </c>
      <c r="R30" s="3">
        <v>0</v>
      </c>
      <c r="S30" s="3">
        <v>0</v>
      </c>
      <c r="T30" s="3">
        <f t="shared" si="4"/>
        <v>15</v>
      </c>
      <c r="U30" s="3">
        <v>1</v>
      </c>
      <c r="V30" s="3">
        <v>1</v>
      </c>
      <c r="W30" s="3">
        <v>2</v>
      </c>
      <c r="X30" s="3">
        <v>2</v>
      </c>
      <c r="Y30" s="3">
        <f t="shared" si="5"/>
        <v>18</v>
      </c>
      <c r="Z30" s="4">
        <v>68.5</v>
      </c>
      <c r="AA30" s="3">
        <v>9</v>
      </c>
      <c r="AB30" s="2">
        <f t="shared" si="6"/>
        <v>0.42857142857142855</v>
      </c>
      <c r="AC30" s="2">
        <f t="shared" si="7"/>
        <v>0.82758620689655171</v>
      </c>
      <c r="AD30" s="2">
        <f t="shared" si="8"/>
        <v>0.42857142857142855</v>
      </c>
      <c r="AE30" s="2">
        <f t="shared" si="9"/>
        <v>0.48648648648648651</v>
      </c>
    </row>
    <row r="31" spans="1:31" ht="20" customHeight="1">
      <c r="A31" s="3">
        <v>89</v>
      </c>
      <c r="B31" s="3" t="s">
        <v>69</v>
      </c>
      <c r="C31" s="3" t="s">
        <v>79</v>
      </c>
      <c r="D31" s="3">
        <v>6</v>
      </c>
      <c r="E31" s="3">
        <v>13</v>
      </c>
      <c r="F31" s="3">
        <f t="shared" si="0"/>
        <v>19</v>
      </c>
      <c r="G31" s="5">
        <f t="shared" si="1"/>
        <v>0.31578947368421051</v>
      </c>
      <c r="H31" s="3">
        <f t="shared" si="2"/>
        <v>56</v>
      </c>
      <c r="I31" s="3">
        <v>52</v>
      </c>
      <c r="J31" s="3">
        <v>10</v>
      </c>
      <c r="K31" s="3">
        <v>22</v>
      </c>
      <c r="L31" s="3">
        <v>26</v>
      </c>
      <c r="M31" s="3">
        <v>34</v>
      </c>
      <c r="N31" s="3">
        <v>4</v>
      </c>
      <c r="O31" s="3">
        <f t="shared" si="3"/>
        <v>64</v>
      </c>
      <c r="P31" s="3">
        <v>20</v>
      </c>
      <c r="Q31" s="3">
        <v>0</v>
      </c>
      <c r="R31" s="3">
        <v>1</v>
      </c>
      <c r="S31" s="3">
        <v>1</v>
      </c>
      <c r="T31" s="3">
        <f t="shared" si="4"/>
        <v>27</v>
      </c>
      <c r="U31" s="3">
        <v>1</v>
      </c>
      <c r="V31" s="3">
        <v>3</v>
      </c>
      <c r="W31" s="3">
        <v>0</v>
      </c>
      <c r="X31" s="3">
        <v>5</v>
      </c>
      <c r="Y31" s="3">
        <f t="shared" si="5"/>
        <v>30</v>
      </c>
      <c r="Z31" s="4">
        <v>109.5</v>
      </c>
      <c r="AA31" s="3">
        <v>4</v>
      </c>
      <c r="AB31" s="2">
        <f t="shared" si="6"/>
        <v>0.42307692307692307</v>
      </c>
      <c r="AC31" s="2">
        <f t="shared" si="7"/>
        <v>0.9375</v>
      </c>
      <c r="AD31" s="2">
        <f t="shared" si="8"/>
        <v>0.51923076923076927</v>
      </c>
      <c r="AE31" s="2">
        <f t="shared" si="9"/>
        <v>0.5357142857142857</v>
      </c>
    </row>
    <row r="32" spans="1:31" ht="20" customHeight="1">
      <c r="A32" s="3">
        <v>90</v>
      </c>
      <c r="B32" s="3" t="s">
        <v>69</v>
      </c>
      <c r="C32" s="3" t="s">
        <v>79</v>
      </c>
      <c r="D32" s="3">
        <v>4</v>
      </c>
      <c r="E32" s="3">
        <v>16</v>
      </c>
      <c r="F32" s="3">
        <f t="shared" si="0"/>
        <v>20</v>
      </c>
      <c r="G32" s="5">
        <f t="shared" si="1"/>
        <v>0.2</v>
      </c>
      <c r="H32" s="3">
        <f t="shared" si="2"/>
        <v>67</v>
      </c>
      <c r="I32" s="3">
        <v>63</v>
      </c>
      <c r="J32" s="3">
        <v>15</v>
      </c>
      <c r="K32" s="3">
        <v>29</v>
      </c>
      <c r="L32" s="3">
        <v>33</v>
      </c>
      <c r="M32" s="3">
        <v>24</v>
      </c>
      <c r="N32" s="3">
        <v>14</v>
      </c>
      <c r="O32" s="3">
        <f t="shared" si="3"/>
        <v>71</v>
      </c>
      <c r="P32" s="3">
        <v>26</v>
      </c>
      <c r="Q32" s="3">
        <v>2</v>
      </c>
      <c r="R32" s="3">
        <v>1</v>
      </c>
      <c r="S32" s="3">
        <v>0</v>
      </c>
      <c r="T32" s="3">
        <f t="shared" si="4"/>
        <v>33</v>
      </c>
      <c r="U32" s="3">
        <v>1</v>
      </c>
      <c r="V32" s="3">
        <v>3</v>
      </c>
      <c r="W32" s="3">
        <v>2</v>
      </c>
      <c r="X32" s="3">
        <v>6</v>
      </c>
      <c r="Y32" s="3">
        <f t="shared" si="5"/>
        <v>38</v>
      </c>
      <c r="Z32" s="4">
        <v>122.5</v>
      </c>
      <c r="AA32" s="3">
        <v>10</v>
      </c>
      <c r="AB32" s="2">
        <f t="shared" si="6"/>
        <v>0.46031746031746029</v>
      </c>
      <c r="AC32" s="2">
        <f t="shared" si="7"/>
        <v>0.80281690140845074</v>
      </c>
      <c r="AD32" s="2">
        <f t="shared" si="8"/>
        <v>0.52380952380952384</v>
      </c>
      <c r="AE32" s="2">
        <f t="shared" si="9"/>
        <v>0.56716417910447758</v>
      </c>
    </row>
    <row r="33" spans="1:31" ht="20" customHeight="1">
      <c r="A33" s="3">
        <v>91</v>
      </c>
      <c r="B33" s="3" t="s">
        <v>69</v>
      </c>
      <c r="C33" s="3" t="s">
        <v>79</v>
      </c>
      <c r="D33" s="3">
        <v>1</v>
      </c>
      <c r="E33" s="3">
        <v>19</v>
      </c>
      <c r="F33" s="3">
        <f t="shared" si="0"/>
        <v>20</v>
      </c>
      <c r="G33" s="5">
        <f t="shared" si="1"/>
        <v>0.05</v>
      </c>
      <c r="H33" s="3">
        <f t="shared" si="2"/>
        <v>62</v>
      </c>
      <c r="I33" s="3">
        <v>56</v>
      </c>
      <c r="J33" s="3">
        <v>12</v>
      </c>
      <c r="K33" s="3">
        <v>27</v>
      </c>
      <c r="L33" s="3">
        <v>25</v>
      </c>
      <c r="M33" s="3">
        <v>30</v>
      </c>
      <c r="N33" s="3">
        <v>8</v>
      </c>
      <c r="O33" s="3">
        <f t="shared" si="3"/>
        <v>63</v>
      </c>
      <c r="P33" s="3">
        <v>24</v>
      </c>
      <c r="Q33" s="3">
        <v>0</v>
      </c>
      <c r="R33" s="3">
        <v>2</v>
      </c>
      <c r="S33" s="3">
        <v>1</v>
      </c>
      <c r="T33" s="3">
        <f t="shared" si="4"/>
        <v>34</v>
      </c>
      <c r="U33" s="3">
        <v>1</v>
      </c>
      <c r="V33" s="3">
        <v>5</v>
      </c>
      <c r="W33" s="3">
        <v>0</v>
      </c>
      <c r="X33" s="3">
        <v>2</v>
      </c>
      <c r="Y33" s="3">
        <f t="shared" si="5"/>
        <v>34</v>
      </c>
      <c r="Z33" s="4">
        <v>120.5</v>
      </c>
      <c r="AA33" s="3">
        <v>13</v>
      </c>
      <c r="AB33" s="2">
        <f t="shared" si="6"/>
        <v>0.48214285714285715</v>
      </c>
      <c r="AC33" s="2">
        <f t="shared" si="7"/>
        <v>0.87301587301587302</v>
      </c>
      <c r="AD33" s="2">
        <f t="shared" si="8"/>
        <v>0.6071428571428571</v>
      </c>
      <c r="AE33" s="2">
        <f t="shared" si="9"/>
        <v>0.54838709677419351</v>
      </c>
    </row>
    <row r="34" spans="1:31" ht="20" customHeight="1">
      <c r="A34" s="3">
        <v>92</v>
      </c>
      <c r="B34" s="3" t="s">
        <v>71</v>
      </c>
      <c r="C34" s="3" t="s">
        <v>79</v>
      </c>
      <c r="D34" s="3">
        <v>0</v>
      </c>
      <c r="E34" s="3">
        <v>20</v>
      </c>
      <c r="F34" s="3">
        <f t="shared" si="0"/>
        <v>20</v>
      </c>
      <c r="G34" s="5">
        <f t="shared" si="1"/>
        <v>0</v>
      </c>
      <c r="H34" s="3">
        <f t="shared" si="2"/>
        <v>63</v>
      </c>
      <c r="I34" s="3">
        <v>57</v>
      </c>
      <c r="J34" s="3">
        <v>11</v>
      </c>
      <c r="K34" s="3">
        <v>19</v>
      </c>
      <c r="L34" s="3">
        <v>29</v>
      </c>
      <c r="M34" s="3">
        <v>34</v>
      </c>
      <c r="N34" s="3">
        <v>10</v>
      </c>
      <c r="O34" s="3">
        <f t="shared" si="3"/>
        <v>73</v>
      </c>
      <c r="P34" s="3">
        <v>17</v>
      </c>
      <c r="Q34" s="3">
        <v>0</v>
      </c>
      <c r="R34" s="3">
        <v>1</v>
      </c>
      <c r="S34" s="3">
        <v>1</v>
      </c>
      <c r="T34" s="3">
        <f t="shared" si="4"/>
        <v>24</v>
      </c>
      <c r="U34" s="3">
        <v>1</v>
      </c>
      <c r="V34" s="3">
        <v>5</v>
      </c>
      <c r="W34" s="3">
        <v>2</v>
      </c>
      <c r="X34" s="3">
        <v>2</v>
      </c>
      <c r="Y34" s="3">
        <f t="shared" si="5"/>
        <v>26</v>
      </c>
      <c r="Z34" s="4">
        <v>105.5</v>
      </c>
      <c r="AA34" s="3">
        <v>8</v>
      </c>
      <c r="AB34" s="2">
        <f t="shared" si="6"/>
        <v>0.33333333333333331</v>
      </c>
      <c r="AC34" s="2">
        <f t="shared" si="7"/>
        <v>0.86301369863013699</v>
      </c>
      <c r="AD34" s="2">
        <f t="shared" si="8"/>
        <v>0.42105263157894735</v>
      </c>
      <c r="AE34" s="2">
        <f t="shared" si="9"/>
        <v>0.41269841269841268</v>
      </c>
    </row>
    <row r="35" spans="1:31" ht="20" customHeight="1">
      <c r="A35" s="3">
        <v>93</v>
      </c>
      <c r="B35" s="3" t="s">
        <v>71</v>
      </c>
      <c r="C35" s="3" t="s">
        <v>79</v>
      </c>
      <c r="D35" s="3">
        <v>4</v>
      </c>
      <c r="E35" s="3">
        <v>16</v>
      </c>
      <c r="F35" s="3">
        <f t="shared" si="0"/>
        <v>20</v>
      </c>
      <c r="G35" s="5">
        <f t="shared" si="1"/>
        <v>0.2</v>
      </c>
      <c r="H35" s="3">
        <f t="shared" si="2"/>
        <v>56</v>
      </c>
      <c r="I35" s="3">
        <v>52</v>
      </c>
      <c r="J35" s="3">
        <v>11</v>
      </c>
      <c r="K35" s="3">
        <v>22</v>
      </c>
      <c r="L35" s="3">
        <v>21</v>
      </c>
      <c r="M35" s="3">
        <v>18</v>
      </c>
      <c r="N35" s="3">
        <v>7</v>
      </c>
      <c r="O35" s="3">
        <f t="shared" si="3"/>
        <v>46</v>
      </c>
      <c r="P35" s="3">
        <v>20</v>
      </c>
      <c r="Q35" s="3">
        <v>1</v>
      </c>
      <c r="R35" s="3">
        <v>1</v>
      </c>
      <c r="S35" s="3">
        <v>0</v>
      </c>
      <c r="T35" s="3">
        <f t="shared" si="4"/>
        <v>25</v>
      </c>
      <c r="U35" s="3">
        <v>1</v>
      </c>
      <c r="V35" s="3">
        <v>3</v>
      </c>
      <c r="W35" s="3">
        <v>0</v>
      </c>
      <c r="X35" s="3">
        <v>9</v>
      </c>
      <c r="Y35" s="3">
        <f t="shared" si="5"/>
        <v>34</v>
      </c>
      <c r="Z35" s="4">
        <v>111.5</v>
      </c>
      <c r="AA35" s="3">
        <v>5</v>
      </c>
      <c r="AB35" s="2">
        <f t="shared" si="6"/>
        <v>0.42307692307692307</v>
      </c>
      <c r="AC35" s="2">
        <f t="shared" si="7"/>
        <v>0.84782608695652173</v>
      </c>
      <c r="AD35" s="2">
        <f t="shared" si="8"/>
        <v>0.48076923076923078</v>
      </c>
      <c r="AE35" s="2">
        <f t="shared" si="9"/>
        <v>0.6071428571428571</v>
      </c>
    </row>
    <row r="36" spans="1:31" ht="20" customHeight="1">
      <c r="A36" s="3">
        <v>94</v>
      </c>
      <c r="B36" s="3" t="s">
        <v>71</v>
      </c>
      <c r="C36" s="3" t="s">
        <v>79</v>
      </c>
      <c r="D36" s="3">
        <v>4</v>
      </c>
      <c r="E36" s="3">
        <v>16</v>
      </c>
      <c r="F36" s="3">
        <f t="shared" si="0"/>
        <v>20</v>
      </c>
      <c r="G36" s="5">
        <f t="shared" si="1"/>
        <v>0.2</v>
      </c>
      <c r="H36" s="3">
        <f t="shared" si="2"/>
        <v>60</v>
      </c>
      <c r="I36" s="3">
        <v>50</v>
      </c>
      <c r="J36" s="3">
        <v>19</v>
      </c>
      <c r="K36" s="3">
        <v>26</v>
      </c>
      <c r="L36" s="3">
        <v>23</v>
      </c>
      <c r="M36" s="3">
        <v>22</v>
      </c>
      <c r="N36" s="3">
        <v>1</v>
      </c>
      <c r="O36" s="3">
        <f t="shared" si="3"/>
        <v>46</v>
      </c>
      <c r="P36" s="3">
        <v>23</v>
      </c>
      <c r="Q36" s="3">
        <v>1</v>
      </c>
      <c r="R36" s="3">
        <v>2</v>
      </c>
      <c r="S36" s="3">
        <v>0</v>
      </c>
      <c r="T36" s="3">
        <f t="shared" si="4"/>
        <v>31</v>
      </c>
      <c r="U36" s="3">
        <v>2</v>
      </c>
      <c r="V36" s="3">
        <v>8</v>
      </c>
      <c r="W36" s="3">
        <v>0</v>
      </c>
      <c r="X36" s="3">
        <v>5</v>
      </c>
      <c r="Y36" s="3">
        <f t="shared" si="5"/>
        <v>39</v>
      </c>
      <c r="Z36" s="4">
        <v>113.5</v>
      </c>
      <c r="AA36" s="3">
        <v>14</v>
      </c>
      <c r="AB36" s="2">
        <f t="shared" si="6"/>
        <v>0.52</v>
      </c>
      <c r="AC36" s="2">
        <f t="shared" si="7"/>
        <v>0.97826086956521741</v>
      </c>
      <c r="AD36" s="2">
        <f t="shared" si="8"/>
        <v>0.62</v>
      </c>
      <c r="AE36" s="2">
        <f t="shared" si="9"/>
        <v>0.65</v>
      </c>
    </row>
    <row r="37" spans="1:31" ht="20" customHeight="1">
      <c r="A37" s="3">
        <v>95</v>
      </c>
      <c r="B37" s="3" t="s">
        <v>71</v>
      </c>
      <c r="C37" s="3" t="s">
        <v>79</v>
      </c>
      <c r="D37" s="3">
        <v>2</v>
      </c>
      <c r="E37" s="3">
        <v>18</v>
      </c>
      <c r="F37" s="3">
        <f t="shared" si="0"/>
        <v>20</v>
      </c>
      <c r="G37" s="5">
        <f t="shared" si="1"/>
        <v>0.1</v>
      </c>
      <c r="H37" s="3">
        <f t="shared" si="2"/>
        <v>62</v>
      </c>
      <c r="I37" s="3">
        <v>54</v>
      </c>
      <c r="J37" s="3">
        <v>19</v>
      </c>
      <c r="K37" s="3">
        <v>29</v>
      </c>
      <c r="L37" s="3">
        <v>36</v>
      </c>
      <c r="M37" s="3">
        <v>38</v>
      </c>
      <c r="N37" s="3">
        <v>4</v>
      </c>
      <c r="O37" s="3">
        <f t="shared" si="3"/>
        <v>78</v>
      </c>
      <c r="P37" s="3">
        <v>28</v>
      </c>
      <c r="Q37" s="3">
        <v>1</v>
      </c>
      <c r="R37" s="3">
        <v>0</v>
      </c>
      <c r="S37" s="3">
        <v>0</v>
      </c>
      <c r="T37" s="3">
        <f t="shared" si="4"/>
        <v>30</v>
      </c>
      <c r="U37" s="3">
        <v>1</v>
      </c>
      <c r="V37" s="3">
        <v>7</v>
      </c>
      <c r="W37" s="3">
        <v>0</v>
      </c>
      <c r="X37" s="3">
        <v>4</v>
      </c>
      <c r="Y37" s="3">
        <f t="shared" si="5"/>
        <v>40</v>
      </c>
      <c r="Z37" s="4">
        <v>113</v>
      </c>
      <c r="AA37" s="3">
        <v>9</v>
      </c>
      <c r="AB37" s="2">
        <f t="shared" si="6"/>
        <v>0.53703703703703709</v>
      </c>
      <c r="AC37" s="2">
        <f t="shared" si="7"/>
        <v>0.94871794871794868</v>
      </c>
      <c r="AD37" s="2">
        <f t="shared" si="8"/>
        <v>0.55555555555555558</v>
      </c>
      <c r="AE37" s="2">
        <f t="shared" si="9"/>
        <v>0.64516129032258063</v>
      </c>
    </row>
    <row r="38" spans="1:31" ht="20" customHeight="1">
      <c r="A38" s="3">
        <v>96</v>
      </c>
      <c r="B38" s="3" t="s">
        <v>72</v>
      </c>
      <c r="C38" s="3" t="s">
        <v>79</v>
      </c>
      <c r="D38" s="3">
        <v>11</v>
      </c>
      <c r="E38" s="3">
        <v>10</v>
      </c>
      <c r="F38" s="3">
        <f t="shared" si="0"/>
        <v>21</v>
      </c>
      <c r="G38" s="5">
        <f t="shared" si="1"/>
        <v>0.52380952380952384</v>
      </c>
      <c r="H38" s="3">
        <f t="shared" si="2"/>
        <v>77</v>
      </c>
      <c r="I38" s="3">
        <v>64</v>
      </c>
      <c r="J38" s="3">
        <v>22</v>
      </c>
      <c r="K38" s="3">
        <v>29</v>
      </c>
      <c r="L38" s="3">
        <v>58</v>
      </c>
      <c r="M38" s="3">
        <v>16</v>
      </c>
      <c r="N38" s="3">
        <v>8</v>
      </c>
      <c r="O38" s="3">
        <f t="shared" si="3"/>
        <v>82</v>
      </c>
      <c r="P38" s="3">
        <v>26</v>
      </c>
      <c r="Q38" s="3">
        <v>2</v>
      </c>
      <c r="R38" s="3">
        <v>1</v>
      </c>
      <c r="S38" s="3">
        <v>0</v>
      </c>
      <c r="T38" s="3">
        <f t="shared" si="4"/>
        <v>33</v>
      </c>
      <c r="U38" s="3">
        <v>4</v>
      </c>
      <c r="V38" s="3">
        <v>9</v>
      </c>
      <c r="W38" s="3">
        <v>0</v>
      </c>
      <c r="X38" s="3">
        <v>9</v>
      </c>
      <c r="Y38" s="3">
        <f t="shared" si="5"/>
        <v>47</v>
      </c>
      <c r="Z38" s="4">
        <v>137</v>
      </c>
      <c r="AA38" s="3">
        <v>22</v>
      </c>
      <c r="AB38" s="2">
        <f t="shared" si="6"/>
        <v>0.453125</v>
      </c>
      <c r="AC38" s="2">
        <f t="shared" si="7"/>
        <v>0.90243902439024393</v>
      </c>
      <c r="AD38" s="2">
        <f t="shared" si="8"/>
        <v>0.515625</v>
      </c>
      <c r="AE38" s="2">
        <f t="shared" si="9"/>
        <v>0.61038961038961037</v>
      </c>
    </row>
    <row r="39" spans="1:31" ht="20" customHeight="1">
      <c r="A39" s="3">
        <v>97</v>
      </c>
      <c r="B39" s="3" t="s">
        <v>72</v>
      </c>
      <c r="C39" s="3" t="s">
        <v>79</v>
      </c>
      <c r="D39" s="3">
        <v>4</v>
      </c>
      <c r="E39" s="3">
        <v>16</v>
      </c>
      <c r="F39" s="3">
        <f t="shared" si="0"/>
        <v>20</v>
      </c>
      <c r="G39" s="5">
        <f t="shared" si="1"/>
        <v>0.2</v>
      </c>
      <c r="H39" s="3">
        <f t="shared" si="2"/>
        <v>60</v>
      </c>
      <c r="I39" s="3">
        <v>48</v>
      </c>
      <c r="J39" s="3">
        <v>15</v>
      </c>
      <c r="K39" s="3">
        <v>27</v>
      </c>
      <c r="L39" s="3">
        <v>28</v>
      </c>
      <c r="M39" s="3">
        <v>15</v>
      </c>
      <c r="N39" s="3">
        <v>12</v>
      </c>
      <c r="O39" s="3">
        <f t="shared" si="3"/>
        <v>55</v>
      </c>
      <c r="P39" s="3">
        <v>26</v>
      </c>
      <c r="Q39" s="3">
        <v>1</v>
      </c>
      <c r="R39" s="3">
        <v>0</v>
      </c>
      <c r="S39" s="3">
        <v>0</v>
      </c>
      <c r="T39" s="3">
        <f t="shared" si="4"/>
        <v>28</v>
      </c>
      <c r="U39" s="3">
        <v>4</v>
      </c>
      <c r="V39" s="3">
        <v>8</v>
      </c>
      <c r="W39" s="3">
        <v>0</v>
      </c>
      <c r="X39" s="3">
        <v>2</v>
      </c>
      <c r="Y39" s="3">
        <f t="shared" si="5"/>
        <v>37</v>
      </c>
      <c r="Z39" s="4">
        <v>98.5</v>
      </c>
      <c r="AA39" s="3">
        <v>11</v>
      </c>
      <c r="AB39" s="2">
        <f t="shared" si="6"/>
        <v>0.5625</v>
      </c>
      <c r="AC39" s="2">
        <f t="shared" si="7"/>
        <v>0.78181818181818186</v>
      </c>
      <c r="AD39" s="2">
        <f t="shared" si="8"/>
        <v>0.58333333333333337</v>
      </c>
      <c r="AE39" s="2">
        <f t="shared" si="9"/>
        <v>0.6166666666666667</v>
      </c>
    </row>
    <row r="40" spans="1:31" ht="20" customHeight="1">
      <c r="A40" s="3">
        <v>98</v>
      </c>
      <c r="B40" s="3" t="s">
        <v>72</v>
      </c>
      <c r="C40" s="3" t="s">
        <v>79</v>
      </c>
      <c r="D40" s="3">
        <v>12</v>
      </c>
      <c r="E40" s="3">
        <v>11</v>
      </c>
      <c r="F40" s="3">
        <f t="shared" si="0"/>
        <v>23</v>
      </c>
      <c r="G40" s="5">
        <f t="shared" si="1"/>
        <v>0.52173913043478259</v>
      </c>
      <c r="H40" s="3">
        <f t="shared" si="2"/>
        <v>64</v>
      </c>
      <c r="I40" s="3">
        <v>60</v>
      </c>
      <c r="J40" s="3">
        <v>18</v>
      </c>
      <c r="K40" s="3">
        <v>27</v>
      </c>
      <c r="L40" s="3">
        <v>57</v>
      </c>
      <c r="M40" s="3">
        <v>7</v>
      </c>
      <c r="N40" s="3">
        <v>2</v>
      </c>
      <c r="O40" s="3">
        <f t="shared" si="3"/>
        <v>66</v>
      </c>
      <c r="P40" s="3">
        <v>25</v>
      </c>
      <c r="Q40" s="3">
        <v>1</v>
      </c>
      <c r="R40" s="3">
        <v>1</v>
      </c>
      <c r="S40" s="3">
        <v>0</v>
      </c>
      <c r="T40" s="3">
        <f t="shared" si="4"/>
        <v>30</v>
      </c>
      <c r="U40" s="3">
        <v>1</v>
      </c>
      <c r="V40" s="3">
        <v>3</v>
      </c>
      <c r="W40" s="3">
        <v>1</v>
      </c>
      <c r="X40" s="3">
        <v>6</v>
      </c>
      <c r="Y40" s="3">
        <f t="shared" si="5"/>
        <v>36</v>
      </c>
      <c r="Z40" s="4">
        <v>125.5</v>
      </c>
      <c r="AA40" s="3">
        <v>10</v>
      </c>
      <c r="AB40" s="2">
        <f t="shared" si="6"/>
        <v>0.45</v>
      </c>
      <c r="AC40" s="2">
        <f t="shared" si="7"/>
        <v>0.96969696969696972</v>
      </c>
      <c r="AD40" s="2">
        <f t="shared" si="8"/>
        <v>0.5</v>
      </c>
      <c r="AE40" s="2">
        <f t="shared" si="9"/>
        <v>0.5625</v>
      </c>
    </row>
    <row r="41" spans="1:31" ht="20" customHeight="1">
      <c r="A41" s="3">
        <v>99</v>
      </c>
      <c r="B41" s="3" t="s">
        <v>72</v>
      </c>
      <c r="C41" s="3" t="s">
        <v>79</v>
      </c>
      <c r="D41" s="3">
        <v>13</v>
      </c>
      <c r="E41" s="3">
        <v>7</v>
      </c>
      <c r="F41" s="3">
        <f t="shared" si="0"/>
        <v>20</v>
      </c>
      <c r="G41" s="5">
        <f t="shared" si="1"/>
        <v>0.65</v>
      </c>
      <c r="H41" s="3">
        <f t="shared" si="2"/>
        <v>56</v>
      </c>
      <c r="I41" s="3">
        <v>50</v>
      </c>
      <c r="J41" s="3">
        <v>13</v>
      </c>
      <c r="K41" s="3">
        <v>26</v>
      </c>
      <c r="L41" s="3">
        <v>29</v>
      </c>
      <c r="M41" s="3">
        <v>9</v>
      </c>
      <c r="N41" s="3">
        <v>8</v>
      </c>
      <c r="O41" s="3">
        <f t="shared" si="3"/>
        <v>46</v>
      </c>
      <c r="P41" s="3">
        <v>25</v>
      </c>
      <c r="Q41" s="3">
        <v>1</v>
      </c>
      <c r="R41" s="3">
        <v>0</v>
      </c>
      <c r="S41" s="3">
        <v>0</v>
      </c>
      <c r="T41" s="3">
        <f t="shared" si="4"/>
        <v>27</v>
      </c>
      <c r="U41" s="3">
        <v>2</v>
      </c>
      <c r="V41" s="3">
        <v>4</v>
      </c>
      <c r="W41" s="3">
        <v>1</v>
      </c>
      <c r="X41" s="3">
        <v>3</v>
      </c>
      <c r="Y41" s="3">
        <f t="shared" si="5"/>
        <v>33</v>
      </c>
      <c r="Z41" s="4">
        <v>115.5</v>
      </c>
      <c r="AA41" s="3">
        <v>12</v>
      </c>
      <c r="AB41" s="2">
        <f t="shared" si="6"/>
        <v>0.52</v>
      </c>
      <c r="AC41" s="2">
        <f t="shared" si="7"/>
        <v>0.82608695652173914</v>
      </c>
      <c r="AD41" s="2">
        <f t="shared" si="8"/>
        <v>0.54</v>
      </c>
      <c r="AE41" s="2">
        <f t="shared" si="9"/>
        <v>0.5892857142857143</v>
      </c>
    </row>
    <row r="42" spans="1:31" ht="20" customHeight="1">
      <c r="A42" s="6">
        <v>0</v>
      </c>
      <c r="B42" s="3" t="s">
        <v>72</v>
      </c>
      <c r="C42" s="3" t="s">
        <v>0</v>
      </c>
      <c r="D42" s="3">
        <v>10</v>
      </c>
      <c r="E42" s="3">
        <v>11</v>
      </c>
      <c r="F42" s="3">
        <f t="shared" si="0"/>
        <v>21</v>
      </c>
      <c r="G42" s="5">
        <f t="shared" si="1"/>
        <v>0.47619047619047616</v>
      </c>
      <c r="H42" s="3">
        <f t="shared" si="2"/>
        <v>44</v>
      </c>
      <c r="I42" s="3">
        <v>39</v>
      </c>
      <c r="J42" s="3">
        <v>11</v>
      </c>
      <c r="K42" s="3">
        <v>22</v>
      </c>
      <c r="L42" s="3">
        <v>9</v>
      </c>
      <c r="M42" s="3">
        <v>6</v>
      </c>
      <c r="N42" s="3">
        <v>4</v>
      </c>
      <c r="O42" s="3">
        <f t="shared" si="3"/>
        <v>19</v>
      </c>
      <c r="P42" s="3">
        <v>20</v>
      </c>
      <c r="Q42" s="3">
        <v>2</v>
      </c>
      <c r="R42" s="3">
        <v>0</v>
      </c>
      <c r="S42" s="3">
        <v>0</v>
      </c>
      <c r="T42" s="3">
        <f t="shared" si="4"/>
        <v>24</v>
      </c>
      <c r="U42" s="3">
        <v>1</v>
      </c>
      <c r="V42" s="3">
        <v>4</v>
      </c>
      <c r="W42" s="3">
        <v>0</v>
      </c>
      <c r="X42" s="3">
        <v>5</v>
      </c>
      <c r="Y42" s="3">
        <f t="shared" si="5"/>
        <v>31</v>
      </c>
      <c r="Z42" s="4">
        <v>93.5</v>
      </c>
      <c r="AA42" s="3">
        <v>7</v>
      </c>
      <c r="AB42" s="2">
        <f t="shared" si="6"/>
        <v>0.5641025641025641</v>
      </c>
      <c r="AC42" s="2">
        <f t="shared" si="7"/>
        <v>0.78947368421052633</v>
      </c>
      <c r="AD42" s="2">
        <f t="shared" si="8"/>
        <v>0.61538461538461542</v>
      </c>
      <c r="AE42" s="2">
        <f t="shared" si="9"/>
        <v>0.70454545454545459</v>
      </c>
    </row>
    <row r="43" spans="1:31" ht="20" customHeight="1">
      <c r="A43" s="6">
        <v>1</v>
      </c>
      <c r="B43" s="3" t="s">
        <v>72</v>
      </c>
      <c r="C43" s="3" t="s">
        <v>79</v>
      </c>
      <c r="D43" s="3">
        <v>6</v>
      </c>
      <c r="E43" s="3">
        <v>17</v>
      </c>
      <c r="F43" s="3">
        <f t="shared" si="0"/>
        <v>23</v>
      </c>
      <c r="G43" s="5">
        <f t="shared" si="1"/>
        <v>0.2608695652173913</v>
      </c>
      <c r="H43" s="3">
        <f t="shared" si="2"/>
        <v>53</v>
      </c>
      <c r="I43" s="3">
        <v>44</v>
      </c>
      <c r="J43" s="3">
        <v>12</v>
      </c>
      <c r="K43" s="3">
        <v>22</v>
      </c>
      <c r="L43" s="3">
        <v>13</v>
      </c>
      <c r="M43" s="3">
        <v>11</v>
      </c>
      <c r="N43" s="3">
        <v>3</v>
      </c>
      <c r="O43" s="3">
        <f t="shared" si="3"/>
        <v>27</v>
      </c>
      <c r="P43" s="3">
        <v>21</v>
      </c>
      <c r="Q43" s="3">
        <v>1</v>
      </c>
      <c r="R43" s="3">
        <v>0</v>
      </c>
      <c r="S43" s="3">
        <v>0</v>
      </c>
      <c r="T43" s="3">
        <f t="shared" si="4"/>
        <v>23</v>
      </c>
      <c r="U43" s="3">
        <v>2</v>
      </c>
      <c r="V43" s="3">
        <v>7</v>
      </c>
      <c r="W43" s="3">
        <v>1</v>
      </c>
      <c r="X43" s="3">
        <v>3</v>
      </c>
      <c r="Y43" s="3">
        <f t="shared" si="5"/>
        <v>32</v>
      </c>
      <c r="Z43" s="4">
        <v>101</v>
      </c>
      <c r="AA43" s="3">
        <v>12</v>
      </c>
      <c r="AB43" s="2">
        <f t="shared" si="6"/>
        <v>0.5</v>
      </c>
      <c r="AC43" s="2">
        <f t="shared" si="7"/>
        <v>0.88888888888888884</v>
      </c>
      <c r="AD43" s="2">
        <f t="shared" si="8"/>
        <v>0.52272727272727271</v>
      </c>
      <c r="AE43" s="2">
        <f t="shared" si="9"/>
        <v>0.60377358490566035</v>
      </c>
    </row>
    <row r="44" spans="1:31" ht="20" customHeight="1">
      <c r="A44" s="6">
        <v>2</v>
      </c>
      <c r="B44" s="3" t="s">
        <v>72</v>
      </c>
      <c r="C44" s="3" t="s">
        <v>79</v>
      </c>
      <c r="D44" s="3">
        <v>16</v>
      </c>
      <c r="E44" s="3">
        <v>7</v>
      </c>
      <c r="F44" s="3">
        <f t="shared" si="0"/>
        <v>23</v>
      </c>
      <c r="G44" s="5">
        <f t="shared" si="1"/>
        <v>0.69565217391304346</v>
      </c>
      <c r="H44" s="3">
        <f t="shared" si="2"/>
        <v>56</v>
      </c>
      <c r="I44" s="3">
        <v>41</v>
      </c>
      <c r="J44" s="3">
        <v>17</v>
      </c>
      <c r="K44" s="3">
        <v>24</v>
      </c>
      <c r="L44" s="3">
        <v>27</v>
      </c>
      <c r="M44" s="3">
        <v>14</v>
      </c>
      <c r="N44" s="3">
        <v>1</v>
      </c>
      <c r="O44" s="3">
        <f t="shared" si="3"/>
        <v>42</v>
      </c>
      <c r="P44" s="3">
        <v>21</v>
      </c>
      <c r="Q44" s="3">
        <v>2</v>
      </c>
      <c r="R44" s="3">
        <v>1</v>
      </c>
      <c r="S44" s="3">
        <v>0</v>
      </c>
      <c r="T44" s="3">
        <f t="shared" si="4"/>
        <v>28</v>
      </c>
      <c r="U44" s="3">
        <v>7</v>
      </c>
      <c r="V44" s="3">
        <v>8</v>
      </c>
      <c r="W44" s="3">
        <v>1</v>
      </c>
      <c r="X44" s="3">
        <v>3</v>
      </c>
      <c r="Y44" s="3">
        <f t="shared" si="5"/>
        <v>35</v>
      </c>
      <c r="Z44" s="4">
        <v>110.5</v>
      </c>
      <c r="AA44" s="3">
        <v>18</v>
      </c>
      <c r="AB44" s="2">
        <f t="shared" si="6"/>
        <v>0.58536585365853655</v>
      </c>
      <c r="AC44" s="2">
        <f t="shared" si="7"/>
        <v>0.97619047619047616</v>
      </c>
      <c r="AD44" s="2">
        <f t="shared" si="8"/>
        <v>0.68292682926829273</v>
      </c>
      <c r="AE44" s="2">
        <f t="shared" si="9"/>
        <v>0.625</v>
      </c>
    </row>
    <row r="45" spans="1:31" ht="20" customHeight="1">
      <c r="A45" s="6">
        <v>3</v>
      </c>
      <c r="B45" s="3" t="s">
        <v>73</v>
      </c>
      <c r="C45" s="3" t="s">
        <v>79</v>
      </c>
      <c r="D45" s="3">
        <v>12</v>
      </c>
      <c r="E45" s="3">
        <v>9</v>
      </c>
      <c r="F45" s="3">
        <f>D45+E45</f>
        <v>21</v>
      </c>
      <c r="G45" s="5">
        <f>D45/F45</f>
        <v>0.5714285714285714</v>
      </c>
      <c r="H45" s="3">
        <f>I45+U45+V45</f>
        <v>41</v>
      </c>
      <c r="I45" s="3">
        <v>37</v>
      </c>
      <c r="J45" s="3">
        <v>8</v>
      </c>
      <c r="K45" s="3">
        <v>15</v>
      </c>
      <c r="L45" s="3">
        <v>37</v>
      </c>
      <c r="M45" s="3">
        <v>4</v>
      </c>
      <c r="N45" s="3">
        <v>1</v>
      </c>
      <c r="O45" s="3">
        <f>L45+M45+N45</f>
        <v>42</v>
      </c>
      <c r="P45" s="3">
        <v>14</v>
      </c>
      <c r="Q45" s="3">
        <v>1</v>
      </c>
      <c r="R45" s="3">
        <v>0</v>
      </c>
      <c r="S45" s="3">
        <v>0</v>
      </c>
      <c r="T45" s="3">
        <f>P45+2*Q45+3*R45+4*S45</f>
        <v>16</v>
      </c>
      <c r="U45" s="3">
        <v>0</v>
      </c>
      <c r="V45" s="3">
        <v>4</v>
      </c>
      <c r="W45" s="3">
        <v>0</v>
      </c>
      <c r="X45" s="3">
        <v>3</v>
      </c>
      <c r="Y45" s="3">
        <f>K45+V45+X45</f>
        <v>22</v>
      </c>
      <c r="Z45" s="4">
        <v>86.5</v>
      </c>
      <c r="AA45" s="3">
        <v>13</v>
      </c>
      <c r="AB45" s="2">
        <f>K45/I45</f>
        <v>0.40540540540540543</v>
      </c>
      <c r="AC45" s="2">
        <f>(L45+M45)/O45</f>
        <v>0.97619047619047616</v>
      </c>
      <c r="AD45" s="2">
        <f>T45/I45</f>
        <v>0.43243243243243246</v>
      </c>
      <c r="AE45" s="2">
        <f>Y45/H45</f>
        <v>0.53658536585365857</v>
      </c>
    </row>
    <row r="46" spans="1:31" ht="20" customHeight="1">
      <c r="A46" s="6">
        <v>4</v>
      </c>
      <c r="B46" s="3" t="s">
        <v>73</v>
      </c>
      <c r="C46" s="3" t="s">
        <v>79</v>
      </c>
      <c r="D46" s="3">
        <v>11</v>
      </c>
      <c r="E46" s="3">
        <v>10</v>
      </c>
      <c r="F46" s="3">
        <f>D46+E46</f>
        <v>21</v>
      </c>
      <c r="G46" s="5">
        <f>D46/F46</f>
        <v>0.52380952380952384</v>
      </c>
      <c r="H46" s="3">
        <f>I46+U46+V46</f>
        <v>51</v>
      </c>
      <c r="I46" s="3">
        <v>45</v>
      </c>
      <c r="J46" s="3">
        <v>9</v>
      </c>
      <c r="K46" s="3">
        <v>20</v>
      </c>
      <c r="L46" s="3">
        <v>25</v>
      </c>
      <c r="M46" s="3">
        <v>18</v>
      </c>
      <c r="N46" s="3">
        <v>10</v>
      </c>
      <c r="O46" s="3">
        <f>L46+M46+N46</f>
        <v>53</v>
      </c>
      <c r="P46" s="3">
        <v>20</v>
      </c>
      <c r="Q46" s="3">
        <v>0</v>
      </c>
      <c r="R46" s="3">
        <v>0</v>
      </c>
      <c r="S46" s="3">
        <v>0</v>
      </c>
      <c r="T46" s="3">
        <f>P46+2*Q46+3*R46+4*S46</f>
        <v>20</v>
      </c>
      <c r="U46" s="3">
        <v>0</v>
      </c>
      <c r="V46" s="3">
        <v>6</v>
      </c>
      <c r="W46" s="3">
        <v>0</v>
      </c>
      <c r="X46" s="3">
        <v>7</v>
      </c>
      <c r="Y46" s="3">
        <f>K46+V46+X46</f>
        <v>33</v>
      </c>
      <c r="Z46" s="4">
        <v>104</v>
      </c>
      <c r="AA46" s="3">
        <v>5</v>
      </c>
      <c r="AB46" s="2">
        <f>K46/I46</f>
        <v>0.44444444444444442</v>
      </c>
      <c r="AC46" s="2">
        <f>(L46+M46)/O46</f>
        <v>0.81132075471698117</v>
      </c>
      <c r="AD46" s="2">
        <f>T46/I46</f>
        <v>0.44444444444444442</v>
      </c>
      <c r="AE46" s="2">
        <f>Y46/H46</f>
        <v>0.6470588235294118</v>
      </c>
    </row>
    <row r="47" spans="1:31" ht="20" customHeight="1">
      <c r="A47" s="6">
        <v>5</v>
      </c>
      <c r="B47" s="3" t="s">
        <v>73</v>
      </c>
      <c r="C47" s="3" t="s">
        <v>79</v>
      </c>
      <c r="D47" s="3">
        <v>15</v>
      </c>
      <c r="E47" s="3">
        <v>7</v>
      </c>
      <c r="F47" s="3">
        <f>D47+E47</f>
        <v>22</v>
      </c>
      <c r="G47" s="5">
        <f>D47/F47</f>
        <v>0.68181818181818177</v>
      </c>
      <c r="H47" s="3">
        <f>I47+U47+V47</f>
        <v>68</v>
      </c>
      <c r="I47" s="3">
        <v>53</v>
      </c>
      <c r="J47" s="3">
        <v>13</v>
      </c>
      <c r="K47" s="3">
        <v>20</v>
      </c>
      <c r="L47" s="3">
        <v>23</v>
      </c>
      <c r="M47" s="3">
        <v>16</v>
      </c>
      <c r="N47" s="3">
        <v>2</v>
      </c>
      <c r="O47" s="3">
        <f>L47+M47+N47</f>
        <v>41</v>
      </c>
      <c r="P47" s="3">
        <v>20</v>
      </c>
      <c r="Q47" s="3">
        <v>0</v>
      </c>
      <c r="R47" s="3">
        <v>0</v>
      </c>
      <c r="S47" s="3">
        <v>0</v>
      </c>
      <c r="T47" s="3">
        <f>P47+2*Q47+3*R47+4*S47</f>
        <v>20</v>
      </c>
      <c r="U47" s="3">
        <v>2</v>
      </c>
      <c r="V47" s="3">
        <v>13</v>
      </c>
      <c r="W47" s="3">
        <v>0</v>
      </c>
      <c r="X47" s="3">
        <v>4</v>
      </c>
      <c r="Y47" s="3">
        <f>K47+V47+X47</f>
        <v>37</v>
      </c>
      <c r="Z47" s="4">
        <v>144</v>
      </c>
      <c r="AA47" s="3">
        <v>9</v>
      </c>
      <c r="AB47" s="2">
        <f>K47/I47</f>
        <v>0.37735849056603776</v>
      </c>
      <c r="AC47" s="2">
        <f>(L47+M47)/O47</f>
        <v>0.95121951219512191</v>
      </c>
      <c r="AD47" s="2">
        <f>T47/I47</f>
        <v>0.37735849056603776</v>
      </c>
      <c r="AE47" s="2">
        <f>Y47/H47</f>
        <v>0.54411764705882348</v>
      </c>
    </row>
    <row r="48" spans="1:31" ht="20" customHeight="1">
      <c r="A48" s="6">
        <v>6</v>
      </c>
      <c r="B48" s="3" t="s">
        <v>73</v>
      </c>
      <c r="C48" s="3" t="s">
        <v>79</v>
      </c>
      <c r="D48" s="3">
        <v>14</v>
      </c>
      <c r="E48" s="3">
        <v>8</v>
      </c>
      <c r="F48" s="3">
        <f>D48+E48</f>
        <v>22</v>
      </c>
      <c r="G48" s="5">
        <f>D48/F48</f>
        <v>0.63636363636363635</v>
      </c>
      <c r="H48" s="3">
        <f>I48+U48+V48</f>
        <v>67</v>
      </c>
      <c r="I48" s="3">
        <v>52</v>
      </c>
      <c r="J48" s="3">
        <v>15</v>
      </c>
      <c r="K48" s="3">
        <v>26</v>
      </c>
      <c r="L48" s="3">
        <v>18</v>
      </c>
      <c r="M48" s="3">
        <v>18</v>
      </c>
      <c r="N48" s="3">
        <v>5</v>
      </c>
      <c r="O48" s="3">
        <f>L48+M48+N48</f>
        <v>41</v>
      </c>
      <c r="P48" s="3">
        <v>25</v>
      </c>
      <c r="Q48" s="3">
        <v>1</v>
      </c>
      <c r="R48" s="3">
        <v>0</v>
      </c>
      <c r="S48" s="3">
        <v>0</v>
      </c>
      <c r="T48" s="3">
        <f>P48+2*Q48+3*R48+4*S48</f>
        <v>27</v>
      </c>
      <c r="U48" s="3">
        <v>3</v>
      </c>
      <c r="V48" s="3">
        <v>12</v>
      </c>
      <c r="W48" s="3">
        <v>2</v>
      </c>
      <c r="X48" s="3">
        <v>4</v>
      </c>
      <c r="Y48" s="3">
        <f>K48+V48+X48</f>
        <v>42</v>
      </c>
      <c r="Z48" s="4">
        <v>114</v>
      </c>
      <c r="AA48" s="3">
        <v>19</v>
      </c>
      <c r="AB48" s="2">
        <f>K48/I48</f>
        <v>0.5</v>
      </c>
      <c r="AC48" s="2">
        <f>(L48+M48)/O48</f>
        <v>0.87804878048780488</v>
      </c>
      <c r="AD48" s="2">
        <f>T48/I48</f>
        <v>0.51923076923076927</v>
      </c>
      <c r="AE48" s="2">
        <f>Y48/H48</f>
        <v>0.62686567164179108</v>
      </c>
    </row>
    <row r="49" spans="1:31" ht="20" customHeight="1">
      <c r="A49" s="6">
        <v>7</v>
      </c>
      <c r="B49" s="3" t="s">
        <v>73</v>
      </c>
      <c r="C49" s="3" t="s">
        <v>79</v>
      </c>
      <c r="D49" s="3">
        <v>5</v>
      </c>
      <c r="E49" s="3">
        <v>14</v>
      </c>
      <c r="F49" s="3">
        <f>D49+E49</f>
        <v>19</v>
      </c>
      <c r="G49" s="5">
        <f>D49/F49</f>
        <v>0.26315789473684209</v>
      </c>
      <c r="H49" s="3">
        <f>I49+U49+V49</f>
        <v>48</v>
      </c>
      <c r="I49" s="3">
        <v>40</v>
      </c>
      <c r="J49" s="3">
        <v>13</v>
      </c>
      <c r="K49" s="3">
        <v>23</v>
      </c>
      <c r="L49" s="3">
        <v>17</v>
      </c>
      <c r="M49" s="3">
        <v>15</v>
      </c>
      <c r="N49" s="3">
        <v>9</v>
      </c>
      <c r="O49" s="3">
        <f>L49+M49+N49</f>
        <v>41</v>
      </c>
      <c r="P49" s="3">
        <v>21</v>
      </c>
      <c r="Q49" s="3">
        <v>2</v>
      </c>
      <c r="R49" s="3">
        <v>0</v>
      </c>
      <c r="S49" s="3">
        <v>0</v>
      </c>
      <c r="T49" s="3">
        <f>P49+2*Q49+3*R49+4*S49</f>
        <v>25</v>
      </c>
      <c r="U49" s="3">
        <v>0</v>
      </c>
      <c r="V49" s="3">
        <v>8</v>
      </c>
      <c r="W49" s="3">
        <v>0</v>
      </c>
      <c r="X49" s="3">
        <v>3</v>
      </c>
      <c r="Y49" s="3">
        <f>K49+V49+X49</f>
        <v>34</v>
      </c>
      <c r="Z49" s="4">
        <v>84</v>
      </c>
      <c r="AA49" s="3">
        <v>14</v>
      </c>
      <c r="AB49" s="2">
        <f>K49/I49</f>
        <v>0.57499999999999996</v>
      </c>
      <c r="AC49" s="2">
        <f>(L49+M49)/O49</f>
        <v>0.78048780487804881</v>
      </c>
      <c r="AD49" s="2">
        <f>T49/I49</f>
        <v>0.625</v>
      </c>
      <c r="AE49" s="2">
        <f>Y49/H49</f>
        <v>0.70833333333333337</v>
      </c>
    </row>
    <row r="51" spans="1:31" ht="20" customHeight="1">
      <c r="B51" s="3" t="s">
        <v>74</v>
      </c>
      <c r="D51" s="3">
        <f>SUM(D9:D49)</f>
        <v>394</v>
      </c>
      <c r="E51" s="3">
        <f>SUM(E9:E49)</f>
        <v>461</v>
      </c>
      <c r="F51" s="3">
        <f>SUM(F9:F49)</f>
        <v>855</v>
      </c>
      <c r="G51" s="5">
        <f>D51/F51</f>
        <v>0.46081871345029241</v>
      </c>
      <c r="H51" s="3">
        <f t="shared" ref="H51:AA51" si="13">SUM(H9:H49)</f>
        <v>2293</v>
      </c>
      <c r="I51" s="3">
        <f t="shared" si="13"/>
        <v>2102</v>
      </c>
      <c r="J51" s="3">
        <f t="shared" si="13"/>
        <v>574</v>
      </c>
      <c r="K51" s="3">
        <f t="shared" si="13"/>
        <v>1002</v>
      </c>
      <c r="L51" s="3">
        <f t="shared" si="13"/>
        <v>1257</v>
      </c>
      <c r="M51" s="3">
        <f t="shared" si="13"/>
        <v>646</v>
      </c>
      <c r="N51" s="3">
        <f t="shared" si="13"/>
        <v>192</v>
      </c>
      <c r="O51" s="3">
        <f t="shared" si="13"/>
        <v>2095</v>
      </c>
      <c r="P51" s="3">
        <f t="shared" si="13"/>
        <v>859</v>
      </c>
      <c r="Q51" s="3">
        <f t="shared" si="13"/>
        <v>81</v>
      </c>
      <c r="R51" s="3">
        <f t="shared" si="13"/>
        <v>25</v>
      </c>
      <c r="S51" s="3">
        <f t="shared" si="13"/>
        <v>13</v>
      </c>
      <c r="T51" s="3">
        <f t="shared" si="13"/>
        <v>1148</v>
      </c>
      <c r="U51" s="3">
        <f t="shared" si="13"/>
        <v>66</v>
      </c>
      <c r="V51" s="3">
        <f t="shared" si="13"/>
        <v>171</v>
      </c>
      <c r="W51" s="3">
        <f t="shared" si="13"/>
        <v>16</v>
      </c>
      <c r="X51" s="3">
        <f t="shared" si="13"/>
        <v>206</v>
      </c>
      <c r="Y51" s="3">
        <f t="shared" si="13"/>
        <v>1355</v>
      </c>
      <c r="Z51" s="3">
        <f t="shared" si="13"/>
        <v>4321.5</v>
      </c>
      <c r="AA51" s="3">
        <f t="shared" si="13"/>
        <v>476</v>
      </c>
      <c r="AB51" s="2">
        <f>K51/I51</f>
        <v>0.47668886774500474</v>
      </c>
      <c r="AC51" s="2">
        <f>(L51+M51)/O51</f>
        <v>0.9083532219570406</v>
      </c>
      <c r="AD51" s="2">
        <f>T51/(I51-46)</f>
        <v>0.55836575875486383</v>
      </c>
      <c r="AE51" s="2">
        <f>Y51/H51</f>
        <v>0.59092891408634973</v>
      </c>
    </row>
    <row r="53" spans="1:31" ht="20" customHeight="1">
      <c r="G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20" customHeight="1">
      <c r="C54" s="1" t="s">
        <v>35</v>
      </c>
      <c r="G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20" customHeight="1">
      <c r="G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20" customHeight="1">
      <c r="G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20" customHeight="1">
      <c r="C57" s="3" t="s">
        <v>3</v>
      </c>
      <c r="D57" s="3" t="s">
        <v>4</v>
      </c>
      <c r="E57" s="3" t="s">
        <v>5</v>
      </c>
      <c r="F57" s="3" t="s">
        <v>6</v>
      </c>
      <c r="G57" s="5" t="s">
        <v>7</v>
      </c>
      <c r="H57" s="3" t="s">
        <v>8</v>
      </c>
      <c r="I57" s="3" t="s">
        <v>9</v>
      </c>
      <c r="J57" s="3" t="s">
        <v>10</v>
      </c>
      <c r="K57" s="3" t="s">
        <v>11</v>
      </c>
      <c r="L57" s="3" t="s">
        <v>12</v>
      </c>
      <c r="M57" s="3" t="s">
        <v>13</v>
      </c>
      <c r="N57" s="3" t="s">
        <v>14</v>
      </c>
      <c r="O57" s="3" t="s">
        <v>15</v>
      </c>
      <c r="P57" s="3" t="s">
        <v>16</v>
      </c>
      <c r="Q57" s="3" t="s">
        <v>17</v>
      </c>
      <c r="R57" s="3" t="s">
        <v>18</v>
      </c>
      <c r="S57" s="3" t="s">
        <v>19</v>
      </c>
      <c r="T57" s="3" t="s">
        <v>20</v>
      </c>
      <c r="U57" s="3" t="s">
        <v>21</v>
      </c>
      <c r="V57" s="3" t="s">
        <v>22</v>
      </c>
      <c r="W57" s="3" t="s">
        <v>23</v>
      </c>
      <c r="X57" s="3" t="s">
        <v>24</v>
      </c>
      <c r="Y57" s="3" t="s">
        <v>25</v>
      </c>
      <c r="Z57" s="4" t="s">
        <v>26</v>
      </c>
      <c r="AA57" s="3" t="s">
        <v>27</v>
      </c>
      <c r="AB57" s="5" t="s">
        <v>28</v>
      </c>
      <c r="AC57" s="5" t="s">
        <v>29</v>
      </c>
      <c r="AD57" s="5" t="s">
        <v>30</v>
      </c>
      <c r="AE57" s="5" t="s">
        <v>31</v>
      </c>
    </row>
    <row r="58" spans="1:31" ht="20" customHeight="1">
      <c r="G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20" customHeight="1">
      <c r="C59" s="3">
        <v>72</v>
      </c>
      <c r="D59" s="3">
        <v>8</v>
      </c>
      <c r="E59" s="3">
        <v>6</v>
      </c>
      <c r="F59" s="3">
        <f>D59+E59</f>
        <v>14</v>
      </c>
      <c r="G59" s="5">
        <f t="shared" ref="G59:G94" si="14">D59/F59</f>
        <v>0.5714285714285714</v>
      </c>
      <c r="H59" s="3">
        <f>I59+U59+V59</f>
        <v>44</v>
      </c>
      <c r="I59" s="3">
        <v>43</v>
      </c>
      <c r="J59" s="3">
        <v>10</v>
      </c>
      <c r="K59" s="3">
        <v>18</v>
      </c>
      <c r="L59" s="3">
        <v>42</v>
      </c>
      <c r="M59" s="3">
        <v>18</v>
      </c>
      <c r="N59" s="3">
        <v>5</v>
      </c>
      <c r="O59" s="3">
        <f>L59+M59+N59</f>
        <v>65</v>
      </c>
      <c r="P59" s="3">
        <v>15</v>
      </c>
      <c r="Q59" s="3">
        <v>2</v>
      </c>
      <c r="R59" s="3">
        <v>1</v>
      </c>
      <c r="S59" s="3">
        <v>0</v>
      </c>
      <c r="T59" s="3">
        <f>P59+2*Q59+3*R59+4*S59</f>
        <v>22</v>
      </c>
      <c r="U59" s="3">
        <v>1</v>
      </c>
      <c r="V59" s="3">
        <v>0</v>
      </c>
      <c r="W59" s="3">
        <v>0</v>
      </c>
      <c r="X59" s="3">
        <v>6</v>
      </c>
      <c r="Y59" s="3">
        <f>K59+V59+X59</f>
        <v>24</v>
      </c>
      <c r="Z59" s="4">
        <v>90</v>
      </c>
      <c r="AA59" s="3">
        <v>12</v>
      </c>
      <c r="AB59" s="2">
        <f t="shared" ref="AB59:AB94" si="15">K59/I59</f>
        <v>0.41860465116279072</v>
      </c>
      <c r="AC59" s="2">
        <f t="shared" ref="AC59:AC94" si="16">(L59+M59)/O59</f>
        <v>0.92307692307692313</v>
      </c>
      <c r="AD59" s="2">
        <f t="shared" ref="AD59:AD71" si="17">T59/I59</f>
        <v>0.51162790697674421</v>
      </c>
      <c r="AE59" s="2">
        <f t="shared" ref="AE59:AE94" si="18">Y59/H59</f>
        <v>0.54545454545454541</v>
      </c>
    </row>
    <row r="60" spans="1:31" ht="20" customHeight="1">
      <c r="C60" s="3">
        <v>73</v>
      </c>
      <c r="D60" s="3">
        <f t="shared" ref="D60:D99" si="19">D59+D10</f>
        <v>28</v>
      </c>
      <c r="E60" s="3">
        <f t="shared" ref="E60:E99" si="20">E59+E10</f>
        <v>20</v>
      </c>
      <c r="F60" s="3">
        <f t="shared" ref="F60:F99" si="21">F59+F10</f>
        <v>48</v>
      </c>
      <c r="G60" s="5">
        <f t="shared" si="14"/>
        <v>0.58333333333333337</v>
      </c>
      <c r="H60" s="3">
        <f t="shared" ref="H60:H99" si="22">H59+H10</f>
        <v>139</v>
      </c>
      <c r="I60" s="3">
        <f t="shared" ref="I60:I99" si="23">I59+I10</f>
        <v>130</v>
      </c>
      <c r="J60" s="3">
        <f t="shared" ref="J60:J99" si="24">J59+J10</f>
        <v>32</v>
      </c>
      <c r="K60" s="3">
        <f t="shared" ref="K60:K99" si="25">K59+K10</f>
        <v>52</v>
      </c>
      <c r="L60" s="3">
        <f t="shared" ref="L60:L99" si="26">L59+L10</f>
        <v>117</v>
      </c>
      <c r="M60" s="3">
        <f t="shared" ref="M60:M99" si="27">M59+M10</f>
        <v>27</v>
      </c>
      <c r="N60" s="3">
        <f t="shared" ref="N60:N99" si="28">N59+N10</f>
        <v>8</v>
      </c>
      <c r="O60" s="3">
        <f t="shared" ref="O60:O99" si="29">O59+O10</f>
        <v>152</v>
      </c>
      <c r="P60" s="3">
        <f t="shared" ref="P60:P99" si="30">P59+P10</f>
        <v>39</v>
      </c>
      <c r="Q60" s="3">
        <f t="shared" ref="Q60:Q99" si="31">Q59+Q10</f>
        <v>9</v>
      </c>
      <c r="R60" s="3">
        <f t="shared" ref="R60:R99" si="32">R59+R10</f>
        <v>3</v>
      </c>
      <c r="S60" s="3">
        <f t="shared" ref="S60:S99" si="33">S59+S10</f>
        <v>1</v>
      </c>
      <c r="T60" s="3">
        <f t="shared" ref="T60:T99" si="34">T59+T10</f>
        <v>70</v>
      </c>
      <c r="U60" s="3">
        <f t="shared" ref="U60:U99" si="35">U59+U10</f>
        <v>5</v>
      </c>
      <c r="V60" s="3">
        <f t="shared" ref="V60:V99" si="36">V59+V10</f>
        <v>4</v>
      </c>
      <c r="W60" s="3">
        <f t="shared" ref="W60:W99" si="37">W59+W10</f>
        <v>0</v>
      </c>
      <c r="X60" s="3">
        <f t="shared" ref="X60:X99" si="38">X59+X10</f>
        <v>14</v>
      </c>
      <c r="Y60" s="3">
        <f t="shared" ref="Y60:Y99" si="39">Y59+Y10</f>
        <v>70</v>
      </c>
      <c r="Z60" s="3">
        <f t="shared" ref="Z60:Z99" si="40">Z59+Z10</f>
        <v>291.5</v>
      </c>
      <c r="AA60" s="3">
        <f t="shared" ref="AA60:AA99" si="41">AA59+AA10</f>
        <v>33</v>
      </c>
      <c r="AB60" s="2">
        <f t="shared" si="15"/>
        <v>0.4</v>
      </c>
      <c r="AC60" s="2">
        <f t="shared" si="16"/>
        <v>0.94736842105263153</v>
      </c>
      <c r="AD60" s="2">
        <f t="shared" si="17"/>
        <v>0.53846153846153844</v>
      </c>
      <c r="AE60" s="2">
        <f t="shared" si="18"/>
        <v>0.50359712230215825</v>
      </c>
    </row>
    <row r="61" spans="1:31" ht="20" customHeight="1">
      <c r="C61" s="3">
        <v>74</v>
      </c>
      <c r="D61" s="3">
        <f t="shared" si="19"/>
        <v>42</v>
      </c>
      <c r="E61" s="3">
        <f t="shared" si="20"/>
        <v>36</v>
      </c>
      <c r="F61" s="3">
        <f t="shared" si="21"/>
        <v>78</v>
      </c>
      <c r="G61" s="5">
        <f t="shared" si="14"/>
        <v>0.53846153846153844</v>
      </c>
      <c r="H61" s="3">
        <f t="shared" si="22"/>
        <v>200</v>
      </c>
      <c r="I61" s="3">
        <f t="shared" si="23"/>
        <v>188</v>
      </c>
      <c r="J61" s="3">
        <f t="shared" si="24"/>
        <v>46</v>
      </c>
      <c r="K61" s="3">
        <f t="shared" si="25"/>
        <v>80</v>
      </c>
      <c r="L61" s="3">
        <f t="shared" si="26"/>
        <v>142</v>
      </c>
      <c r="M61" s="3">
        <f t="shared" si="27"/>
        <v>51</v>
      </c>
      <c r="N61" s="3">
        <f t="shared" si="28"/>
        <v>12</v>
      </c>
      <c r="O61" s="3">
        <f t="shared" si="29"/>
        <v>205</v>
      </c>
      <c r="P61" s="3">
        <f t="shared" si="30"/>
        <v>65</v>
      </c>
      <c r="Q61" s="3">
        <f t="shared" si="31"/>
        <v>11</v>
      </c>
      <c r="R61" s="3">
        <f t="shared" si="32"/>
        <v>3</v>
      </c>
      <c r="S61" s="3">
        <f t="shared" si="33"/>
        <v>1</v>
      </c>
      <c r="T61" s="3">
        <f t="shared" si="34"/>
        <v>100</v>
      </c>
      <c r="U61" s="3">
        <f t="shared" si="35"/>
        <v>7</v>
      </c>
      <c r="V61" s="3">
        <f t="shared" si="36"/>
        <v>5</v>
      </c>
      <c r="W61" s="3">
        <f t="shared" si="37"/>
        <v>0</v>
      </c>
      <c r="X61" s="3">
        <f t="shared" si="38"/>
        <v>21</v>
      </c>
      <c r="Y61" s="3">
        <f t="shared" si="39"/>
        <v>106</v>
      </c>
      <c r="Z61" s="3">
        <f t="shared" si="40"/>
        <v>409.5</v>
      </c>
      <c r="AA61" s="3">
        <f t="shared" si="41"/>
        <v>47</v>
      </c>
      <c r="AB61" s="2">
        <f t="shared" si="15"/>
        <v>0.42553191489361702</v>
      </c>
      <c r="AC61" s="2">
        <f t="shared" si="16"/>
        <v>0.94146341463414629</v>
      </c>
      <c r="AD61" s="2">
        <f t="shared" si="17"/>
        <v>0.53191489361702127</v>
      </c>
      <c r="AE61" s="2">
        <f t="shared" si="18"/>
        <v>0.53</v>
      </c>
    </row>
    <row r="62" spans="1:31" ht="20" customHeight="1">
      <c r="C62" s="3">
        <v>75</v>
      </c>
      <c r="D62" s="3">
        <f t="shared" si="19"/>
        <v>57</v>
      </c>
      <c r="E62" s="3">
        <f t="shared" si="20"/>
        <v>48</v>
      </c>
      <c r="F62" s="3">
        <f t="shared" si="21"/>
        <v>105</v>
      </c>
      <c r="G62" s="5">
        <f t="shared" si="14"/>
        <v>0.54285714285714282</v>
      </c>
      <c r="H62" s="3">
        <f t="shared" si="22"/>
        <v>256</v>
      </c>
      <c r="I62" s="3">
        <f t="shared" si="23"/>
        <v>243</v>
      </c>
      <c r="J62" s="3">
        <f t="shared" si="24"/>
        <v>65</v>
      </c>
      <c r="K62" s="3">
        <f t="shared" si="25"/>
        <v>106</v>
      </c>
      <c r="L62" s="3">
        <f t="shared" si="26"/>
        <v>162</v>
      </c>
      <c r="M62" s="3">
        <f t="shared" si="27"/>
        <v>62</v>
      </c>
      <c r="N62" s="3">
        <f t="shared" si="28"/>
        <v>13</v>
      </c>
      <c r="O62" s="3">
        <f t="shared" si="29"/>
        <v>237</v>
      </c>
      <c r="P62" s="3">
        <f t="shared" si="30"/>
        <v>90</v>
      </c>
      <c r="Q62" s="3">
        <f t="shared" si="31"/>
        <v>12</v>
      </c>
      <c r="R62" s="3">
        <f t="shared" si="32"/>
        <v>3</v>
      </c>
      <c r="S62" s="3">
        <f t="shared" si="33"/>
        <v>1</v>
      </c>
      <c r="T62" s="3">
        <f t="shared" si="34"/>
        <v>127</v>
      </c>
      <c r="U62" s="3">
        <f t="shared" si="35"/>
        <v>7</v>
      </c>
      <c r="V62" s="3">
        <f t="shared" si="36"/>
        <v>6</v>
      </c>
      <c r="W62" s="3">
        <f t="shared" si="37"/>
        <v>0</v>
      </c>
      <c r="X62" s="3">
        <f t="shared" si="38"/>
        <v>27</v>
      </c>
      <c r="Y62" s="3">
        <f t="shared" si="39"/>
        <v>139</v>
      </c>
      <c r="Z62" s="3">
        <f t="shared" si="40"/>
        <v>514.5</v>
      </c>
      <c r="AA62" s="3">
        <f t="shared" si="41"/>
        <v>56</v>
      </c>
      <c r="AB62" s="2">
        <f t="shared" si="15"/>
        <v>0.43621399176954734</v>
      </c>
      <c r="AC62" s="2">
        <f t="shared" si="16"/>
        <v>0.94514767932489452</v>
      </c>
      <c r="AD62" s="2">
        <f t="shared" si="17"/>
        <v>0.52263374485596703</v>
      </c>
      <c r="AE62" s="2">
        <f t="shared" si="18"/>
        <v>0.54296875</v>
      </c>
    </row>
    <row r="63" spans="1:31" ht="20" customHeight="1">
      <c r="C63" s="3">
        <v>75</v>
      </c>
      <c r="D63" s="3">
        <f t="shared" si="19"/>
        <v>64</v>
      </c>
      <c r="E63" s="3">
        <f t="shared" si="20"/>
        <v>58</v>
      </c>
      <c r="F63" s="3">
        <f t="shared" si="21"/>
        <v>122</v>
      </c>
      <c r="G63" s="5">
        <f t="shared" si="14"/>
        <v>0.52459016393442626</v>
      </c>
      <c r="H63" s="3">
        <f t="shared" si="22"/>
        <v>322</v>
      </c>
      <c r="I63" s="3">
        <f t="shared" si="23"/>
        <v>302</v>
      </c>
      <c r="J63" s="3">
        <f t="shared" si="24"/>
        <v>86</v>
      </c>
      <c r="K63" s="3">
        <f t="shared" si="25"/>
        <v>139</v>
      </c>
      <c r="L63" s="3">
        <f t="shared" si="26"/>
        <v>207</v>
      </c>
      <c r="M63" s="3">
        <f t="shared" si="27"/>
        <v>67</v>
      </c>
      <c r="N63" s="3">
        <f t="shared" si="28"/>
        <v>20</v>
      </c>
      <c r="O63" s="3">
        <f t="shared" si="29"/>
        <v>294</v>
      </c>
      <c r="P63" s="3">
        <f t="shared" si="30"/>
        <v>118</v>
      </c>
      <c r="Q63" s="3">
        <f t="shared" si="31"/>
        <v>17</v>
      </c>
      <c r="R63" s="3">
        <f t="shared" si="32"/>
        <v>3</v>
      </c>
      <c r="S63" s="3">
        <f t="shared" si="33"/>
        <v>1</v>
      </c>
      <c r="T63" s="3">
        <f t="shared" si="34"/>
        <v>165</v>
      </c>
      <c r="U63" s="3">
        <f t="shared" si="35"/>
        <v>7</v>
      </c>
      <c r="V63" s="3">
        <f t="shared" si="36"/>
        <v>13</v>
      </c>
      <c r="W63" s="3">
        <f t="shared" si="37"/>
        <v>2</v>
      </c>
      <c r="X63" s="3">
        <f t="shared" si="38"/>
        <v>31</v>
      </c>
      <c r="Y63" s="3">
        <f t="shared" si="39"/>
        <v>183</v>
      </c>
      <c r="Z63" s="3">
        <f t="shared" si="40"/>
        <v>623</v>
      </c>
      <c r="AA63" s="3">
        <f t="shared" si="41"/>
        <v>68</v>
      </c>
      <c r="AB63" s="2">
        <f t="shared" si="15"/>
        <v>0.46026490066225167</v>
      </c>
      <c r="AC63" s="2">
        <f t="shared" si="16"/>
        <v>0.93197278911564629</v>
      </c>
      <c r="AD63" s="2">
        <f t="shared" si="17"/>
        <v>0.54635761589403975</v>
      </c>
      <c r="AE63" s="2">
        <f t="shared" si="18"/>
        <v>0.56832298136645965</v>
      </c>
    </row>
    <row r="64" spans="1:31" ht="20" customHeight="1">
      <c r="C64" s="3">
        <v>76</v>
      </c>
      <c r="D64" s="3">
        <f t="shared" si="19"/>
        <v>90</v>
      </c>
      <c r="E64" s="3">
        <f t="shared" si="20"/>
        <v>74</v>
      </c>
      <c r="F64" s="3">
        <f t="shared" si="21"/>
        <v>164</v>
      </c>
      <c r="G64" s="5">
        <f t="shared" si="14"/>
        <v>0.54878048780487809</v>
      </c>
      <c r="H64" s="3">
        <f t="shared" si="22"/>
        <v>414</v>
      </c>
      <c r="I64" s="3">
        <f t="shared" si="23"/>
        <v>384</v>
      </c>
      <c r="J64" s="3">
        <f t="shared" si="24"/>
        <v>112</v>
      </c>
      <c r="K64" s="3">
        <f t="shared" si="25"/>
        <v>181</v>
      </c>
      <c r="L64" s="3">
        <f t="shared" si="26"/>
        <v>249</v>
      </c>
      <c r="M64" s="3">
        <f t="shared" si="27"/>
        <v>111</v>
      </c>
      <c r="N64" s="3">
        <f t="shared" si="28"/>
        <v>28</v>
      </c>
      <c r="O64" s="3">
        <f t="shared" si="29"/>
        <v>388</v>
      </c>
      <c r="P64" s="3">
        <f t="shared" si="30"/>
        <v>153</v>
      </c>
      <c r="Q64" s="3">
        <f t="shared" si="31"/>
        <v>24</v>
      </c>
      <c r="R64" s="3">
        <f t="shared" si="32"/>
        <v>3</v>
      </c>
      <c r="S64" s="3">
        <f t="shared" si="33"/>
        <v>1</v>
      </c>
      <c r="T64" s="3">
        <f t="shared" si="34"/>
        <v>214</v>
      </c>
      <c r="U64" s="3">
        <f t="shared" si="35"/>
        <v>12</v>
      </c>
      <c r="V64" s="3">
        <f t="shared" si="36"/>
        <v>18</v>
      </c>
      <c r="W64" s="3">
        <f t="shared" si="37"/>
        <v>2</v>
      </c>
      <c r="X64" s="3">
        <f t="shared" si="38"/>
        <v>41</v>
      </c>
      <c r="Y64" s="3">
        <f t="shared" si="39"/>
        <v>240</v>
      </c>
      <c r="Z64" s="3">
        <f t="shared" si="40"/>
        <v>806</v>
      </c>
      <c r="AA64" s="3">
        <f t="shared" si="41"/>
        <v>85</v>
      </c>
      <c r="AB64" s="2">
        <f t="shared" si="15"/>
        <v>0.47135416666666669</v>
      </c>
      <c r="AC64" s="2">
        <f t="shared" si="16"/>
        <v>0.92783505154639179</v>
      </c>
      <c r="AD64" s="2">
        <f t="shared" si="17"/>
        <v>0.55729166666666663</v>
      </c>
      <c r="AE64" s="2">
        <f t="shared" si="18"/>
        <v>0.57971014492753625</v>
      </c>
    </row>
    <row r="65" spans="3:31" ht="20" customHeight="1">
      <c r="C65" s="3">
        <v>76</v>
      </c>
      <c r="D65" s="3">
        <f t="shared" si="19"/>
        <v>99</v>
      </c>
      <c r="E65" s="3">
        <f t="shared" si="20"/>
        <v>84</v>
      </c>
      <c r="F65" s="3">
        <f t="shared" si="21"/>
        <v>183</v>
      </c>
      <c r="G65" s="5">
        <f t="shared" si="14"/>
        <v>0.54098360655737709</v>
      </c>
      <c r="H65" s="3">
        <f t="shared" si="22"/>
        <v>485</v>
      </c>
      <c r="I65" s="3">
        <f t="shared" si="23"/>
        <v>452</v>
      </c>
      <c r="J65" s="3">
        <f t="shared" si="24"/>
        <v>137</v>
      </c>
      <c r="K65" s="3">
        <f t="shared" si="25"/>
        <v>213</v>
      </c>
      <c r="L65" s="3">
        <f t="shared" si="26"/>
        <v>313</v>
      </c>
      <c r="M65" s="3">
        <f t="shared" si="27"/>
        <v>113</v>
      </c>
      <c r="N65" s="3">
        <f t="shared" si="28"/>
        <v>30</v>
      </c>
      <c r="O65" s="3">
        <f t="shared" si="29"/>
        <v>456</v>
      </c>
      <c r="P65" s="3">
        <f t="shared" si="30"/>
        <v>171</v>
      </c>
      <c r="Q65" s="3">
        <f t="shared" si="31"/>
        <v>34</v>
      </c>
      <c r="R65" s="3">
        <f t="shared" si="32"/>
        <v>5</v>
      </c>
      <c r="S65" s="3">
        <f t="shared" si="33"/>
        <v>3</v>
      </c>
      <c r="T65" s="3">
        <f t="shared" si="34"/>
        <v>266</v>
      </c>
      <c r="U65" s="3">
        <f t="shared" si="35"/>
        <v>14</v>
      </c>
      <c r="V65" s="3">
        <f t="shared" si="36"/>
        <v>19</v>
      </c>
      <c r="W65" s="3">
        <f t="shared" si="37"/>
        <v>3</v>
      </c>
      <c r="X65" s="3">
        <f t="shared" si="38"/>
        <v>49</v>
      </c>
      <c r="Y65" s="3">
        <f t="shared" si="39"/>
        <v>281</v>
      </c>
      <c r="Z65" s="3">
        <f t="shared" si="40"/>
        <v>933.5</v>
      </c>
      <c r="AA65" s="3">
        <f t="shared" si="41"/>
        <v>104</v>
      </c>
      <c r="AB65" s="2">
        <f t="shared" si="15"/>
        <v>0.47123893805309736</v>
      </c>
      <c r="AC65" s="2">
        <f t="shared" si="16"/>
        <v>0.93421052631578949</v>
      </c>
      <c r="AD65" s="2">
        <f t="shared" si="17"/>
        <v>0.58849557522123896</v>
      </c>
      <c r="AE65" s="2">
        <f t="shared" si="18"/>
        <v>0.57938144329896912</v>
      </c>
    </row>
    <row r="66" spans="3:31" ht="20" customHeight="1">
      <c r="C66" s="3">
        <v>77</v>
      </c>
      <c r="D66" s="3">
        <f t="shared" si="19"/>
        <v>126</v>
      </c>
      <c r="E66" s="3">
        <f t="shared" si="20"/>
        <v>101</v>
      </c>
      <c r="F66" s="3">
        <f t="shared" si="21"/>
        <v>227</v>
      </c>
      <c r="G66" s="5">
        <f t="shared" si="14"/>
        <v>0.55506607929515417</v>
      </c>
      <c r="H66" s="3">
        <f t="shared" si="22"/>
        <v>544</v>
      </c>
      <c r="I66" s="3">
        <f t="shared" si="23"/>
        <v>510</v>
      </c>
      <c r="J66" s="3">
        <f t="shared" si="24"/>
        <v>147</v>
      </c>
      <c r="K66" s="3">
        <f t="shared" si="25"/>
        <v>234</v>
      </c>
      <c r="L66" s="3">
        <f t="shared" si="26"/>
        <v>343</v>
      </c>
      <c r="M66" s="3">
        <f t="shared" si="27"/>
        <v>130</v>
      </c>
      <c r="N66" s="3">
        <f t="shared" si="28"/>
        <v>35</v>
      </c>
      <c r="O66" s="3">
        <f t="shared" si="29"/>
        <v>508</v>
      </c>
      <c r="P66" s="3">
        <f t="shared" si="30"/>
        <v>190</v>
      </c>
      <c r="Q66" s="3">
        <f t="shared" si="31"/>
        <v>36</v>
      </c>
      <c r="R66" s="3">
        <f t="shared" si="32"/>
        <v>5</v>
      </c>
      <c r="S66" s="3">
        <f t="shared" si="33"/>
        <v>3</v>
      </c>
      <c r="T66" s="3">
        <f t="shared" si="34"/>
        <v>289</v>
      </c>
      <c r="U66" s="3">
        <f t="shared" si="35"/>
        <v>15</v>
      </c>
      <c r="V66" s="3">
        <f t="shared" si="36"/>
        <v>19</v>
      </c>
      <c r="W66" s="3">
        <f t="shared" si="37"/>
        <v>3</v>
      </c>
      <c r="X66" s="3">
        <f t="shared" si="38"/>
        <v>57</v>
      </c>
      <c r="Y66" s="3">
        <f t="shared" si="39"/>
        <v>310</v>
      </c>
      <c r="Z66" s="3">
        <f t="shared" si="40"/>
        <v>1055.5</v>
      </c>
      <c r="AA66" s="3">
        <f t="shared" si="41"/>
        <v>116</v>
      </c>
      <c r="AB66" s="2">
        <f t="shared" si="15"/>
        <v>0.45882352941176469</v>
      </c>
      <c r="AC66" s="2">
        <f t="shared" si="16"/>
        <v>0.93110236220472442</v>
      </c>
      <c r="AD66" s="2">
        <f t="shared" si="17"/>
        <v>0.56666666666666665</v>
      </c>
      <c r="AE66" s="2">
        <f t="shared" si="18"/>
        <v>0.56985294117647056</v>
      </c>
    </row>
    <row r="67" spans="3:31" ht="20" customHeight="1">
      <c r="C67" s="3">
        <v>77</v>
      </c>
      <c r="D67" s="3">
        <f t="shared" si="19"/>
        <v>142</v>
      </c>
      <c r="E67" s="3">
        <f t="shared" si="20"/>
        <v>108</v>
      </c>
      <c r="F67" s="3">
        <f t="shared" si="21"/>
        <v>250</v>
      </c>
      <c r="G67" s="5">
        <f t="shared" si="14"/>
        <v>0.56799999999999995</v>
      </c>
      <c r="H67" s="3">
        <f t="shared" si="22"/>
        <v>636</v>
      </c>
      <c r="I67" s="3">
        <f t="shared" si="23"/>
        <v>599</v>
      </c>
      <c r="J67" s="3">
        <f t="shared" si="24"/>
        <v>181</v>
      </c>
      <c r="K67" s="3">
        <f t="shared" si="25"/>
        <v>281</v>
      </c>
      <c r="L67" s="3">
        <f t="shared" si="26"/>
        <v>432</v>
      </c>
      <c r="M67" s="3">
        <f t="shared" si="27"/>
        <v>135</v>
      </c>
      <c r="N67" s="3">
        <f t="shared" si="28"/>
        <v>36</v>
      </c>
      <c r="O67" s="3">
        <f t="shared" si="29"/>
        <v>603</v>
      </c>
      <c r="P67" s="3">
        <f t="shared" si="30"/>
        <v>224</v>
      </c>
      <c r="Q67" s="3">
        <f t="shared" si="31"/>
        <v>47</v>
      </c>
      <c r="R67" s="3">
        <f t="shared" si="32"/>
        <v>6</v>
      </c>
      <c r="S67" s="3">
        <f t="shared" si="33"/>
        <v>4</v>
      </c>
      <c r="T67" s="3">
        <f t="shared" si="34"/>
        <v>352</v>
      </c>
      <c r="U67" s="3">
        <f t="shared" si="35"/>
        <v>15</v>
      </c>
      <c r="V67" s="3">
        <f t="shared" si="36"/>
        <v>22</v>
      </c>
      <c r="W67" s="3">
        <f t="shared" si="37"/>
        <v>3</v>
      </c>
      <c r="X67" s="3">
        <f t="shared" si="38"/>
        <v>62</v>
      </c>
      <c r="Y67" s="3">
        <f t="shared" si="39"/>
        <v>365</v>
      </c>
      <c r="Z67" s="3">
        <f t="shared" si="40"/>
        <v>1200.5</v>
      </c>
      <c r="AA67" s="3">
        <f t="shared" si="41"/>
        <v>132</v>
      </c>
      <c r="AB67" s="2">
        <f t="shared" si="15"/>
        <v>0.46911519198664442</v>
      </c>
      <c r="AC67" s="2">
        <f t="shared" si="16"/>
        <v>0.94029850746268662</v>
      </c>
      <c r="AD67" s="2">
        <f t="shared" si="17"/>
        <v>0.58764607679465775</v>
      </c>
      <c r="AE67" s="2">
        <f t="shared" si="18"/>
        <v>0.57389937106918243</v>
      </c>
    </row>
    <row r="68" spans="3:31" ht="20" customHeight="1">
      <c r="C68" s="3">
        <v>78</v>
      </c>
      <c r="D68" s="3">
        <f t="shared" si="19"/>
        <v>173</v>
      </c>
      <c r="E68" s="3">
        <f t="shared" si="20"/>
        <v>128</v>
      </c>
      <c r="F68" s="3">
        <f t="shared" si="21"/>
        <v>301</v>
      </c>
      <c r="G68" s="5">
        <f t="shared" si="14"/>
        <v>0.57475083056478404</v>
      </c>
      <c r="H68" s="3">
        <f t="shared" si="22"/>
        <v>691</v>
      </c>
      <c r="I68" s="3">
        <f t="shared" si="23"/>
        <v>650</v>
      </c>
      <c r="J68" s="3">
        <f t="shared" si="24"/>
        <v>199</v>
      </c>
      <c r="K68" s="3">
        <f t="shared" si="25"/>
        <v>308</v>
      </c>
      <c r="L68" s="3">
        <f t="shared" si="26"/>
        <v>450</v>
      </c>
      <c r="M68" s="3">
        <f t="shared" si="27"/>
        <v>152</v>
      </c>
      <c r="N68" s="3">
        <f t="shared" si="28"/>
        <v>41</v>
      </c>
      <c r="O68" s="3">
        <f t="shared" si="29"/>
        <v>643</v>
      </c>
      <c r="P68" s="3">
        <f t="shared" si="30"/>
        <v>247</v>
      </c>
      <c r="Q68" s="3">
        <f t="shared" si="31"/>
        <v>51</v>
      </c>
      <c r="R68" s="3">
        <f t="shared" si="32"/>
        <v>6</v>
      </c>
      <c r="S68" s="3">
        <f t="shared" si="33"/>
        <v>4</v>
      </c>
      <c r="T68" s="3">
        <f t="shared" si="34"/>
        <v>383</v>
      </c>
      <c r="U68" s="3">
        <f t="shared" si="35"/>
        <v>16</v>
      </c>
      <c r="V68" s="3">
        <f t="shared" si="36"/>
        <v>25</v>
      </c>
      <c r="W68" s="3">
        <f t="shared" si="37"/>
        <v>3</v>
      </c>
      <c r="X68" s="3">
        <f t="shared" si="38"/>
        <v>69</v>
      </c>
      <c r="Y68" s="3">
        <f t="shared" si="39"/>
        <v>402</v>
      </c>
      <c r="Z68" s="3">
        <f t="shared" si="40"/>
        <v>1297.5</v>
      </c>
      <c r="AA68" s="3">
        <f t="shared" si="41"/>
        <v>146</v>
      </c>
      <c r="AB68" s="2">
        <f t="shared" si="15"/>
        <v>0.47384615384615386</v>
      </c>
      <c r="AC68" s="2">
        <f t="shared" si="16"/>
        <v>0.93623639191290819</v>
      </c>
      <c r="AD68" s="2">
        <f t="shared" si="17"/>
        <v>0.58923076923076922</v>
      </c>
      <c r="AE68" s="2">
        <f t="shared" si="18"/>
        <v>0.58176555716353107</v>
      </c>
    </row>
    <row r="69" spans="3:31" ht="20" customHeight="1">
      <c r="C69" s="3">
        <v>78</v>
      </c>
      <c r="D69" s="3">
        <f t="shared" si="19"/>
        <v>180</v>
      </c>
      <c r="E69" s="3">
        <f t="shared" si="20"/>
        <v>138</v>
      </c>
      <c r="F69" s="3">
        <f t="shared" si="21"/>
        <v>318</v>
      </c>
      <c r="G69" s="5">
        <f t="shared" si="14"/>
        <v>0.56603773584905659</v>
      </c>
      <c r="H69" s="3">
        <f t="shared" si="22"/>
        <v>750</v>
      </c>
      <c r="I69" s="3">
        <f t="shared" si="23"/>
        <v>705</v>
      </c>
      <c r="J69" s="3">
        <f t="shared" si="24"/>
        <v>223</v>
      </c>
      <c r="K69" s="3">
        <f t="shared" si="25"/>
        <v>346</v>
      </c>
      <c r="L69" s="3">
        <f t="shared" si="26"/>
        <v>485</v>
      </c>
      <c r="M69" s="3">
        <f t="shared" si="27"/>
        <v>152</v>
      </c>
      <c r="N69" s="3">
        <f t="shared" si="28"/>
        <v>41</v>
      </c>
      <c r="O69" s="3">
        <f t="shared" si="29"/>
        <v>678</v>
      </c>
      <c r="P69" s="3">
        <f t="shared" si="30"/>
        <v>272</v>
      </c>
      <c r="Q69" s="3">
        <f t="shared" si="31"/>
        <v>55</v>
      </c>
      <c r="R69" s="3">
        <f t="shared" si="32"/>
        <v>11</v>
      </c>
      <c r="S69" s="3">
        <f t="shared" si="33"/>
        <v>8</v>
      </c>
      <c r="T69" s="3">
        <f t="shared" si="34"/>
        <v>447</v>
      </c>
      <c r="U69" s="3">
        <f t="shared" si="35"/>
        <v>17</v>
      </c>
      <c r="V69" s="3">
        <f t="shared" si="36"/>
        <v>28</v>
      </c>
      <c r="W69" s="3">
        <f t="shared" si="37"/>
        <v>4</v>
      </c>
      <c r="X69" s="3">
        <f t="shared" si="38"/>
        <v>73</v>
      </c>
      <c r="Y69" s="3">
        <f t="shared" si="39"/>
        <v>447</v>
      </c>
      <c r="Z69" s="3">
        <f t="shared" si="40"/>
        <v>1388.5</v>
      </c>
      <c r="AA69" s="3">
        <f t="shared" si="41"/>
        <v>171</v>
      </c>
      <c r="AB69" s="2">
        <f t="shared" si="15"/>
        <v>0.49078014184397162</v>
      </c>
      <c r="AC69" s="2">
        <f t="shared" si="16"/>
        <v>0.93952802359882004</v>
      </c>
      <c r="AD69" s="2">
        <f t="shared" si="17"/>
        <v>0.63404255319148939</v>
      </c>
      <c r="AE69" s="2">
        <f t="shared" si="18"/>
        <v>0.59599999999999997</v>
      </c>
    </row>
    <row r="70" spans="3:31" ht="20" customHeight="1">
      <c r="C70" s="3">
        <v>79</v>
      </c>
      <c r="D70" s="3">
        <f t="shared" si="19"/>
        <v>189</v>
      </c>
      <c r="E70" s="3">
        <f t="shared" si="20"/>
        <v>148</v>
      </c>
      <c r="F70" s="3">
        <f t="shared" si="21"/>
        <v>337</v>
      </c>
      <c r="G70" s="5">
        <f t="shared" si="14"/>
        <v>0.56083086053412468</v>
      </c>
      <c r="H70" s="3">
        <f t="shared" si="22"/>
        <v>818</v>
      </c>
      <c r="I70" s="3">
        <f t="shared" si="23"/>
        <v>768</v>
      </c>
      <c r="J70" s="3">
        <f t="shared" si="24"/>
        <v>242</v>
      </c>
      <c r="K70" s="3">
        <f t="shared" si="25"/>
        <v>383</v>
      </c>
      <c r="L70" s="3">
        <f t="shared" si="26"/>
        <v>509</v>
      </c>
      <c r="M70" s="3">
        <f t="shared" si="27"/>
        <v>155</v>
      </c>
      <c r="N70" s="3">
        <f t="shared" si="28"/>
        <v>43</v>
      </c>
      <c r="O70" s="3">
        <f t="shared" si="29"/>
        <v>707</v>
      </c>
      <c r="P70" s="3">
        <f t="shared" si="30"/>
        <v>306</v>
      </c>
      <c r="Q70" s="3">
        <f t="shared" si="31"/>
        <v>56</v>
      </c>
      <c r="R70" s="3">
        <f t="shared" si="32"/>
        <v>12</v>
      </c>
      <c r="S70" s="3">
        <f t="shared" si="33"/>
        <v>9</v>
      </c>
      <c r="T70" s="3">
        <f t="shared" si="34"/>
        <v>490</v>
      </c>
      <c r="U70" s="3">
        <f t="shared" si="35"/>
        <v>19</v>
      </c>
      <c r="V70" s="3">
        <f t="shared" si="36"/>
        <v>31</v>
      </c>
      <c r="W70" s="3">
        <f t="shared" si="37"/>
        <v>4</v>
      </c>
      <c r="X70" s="3">
        <f t="shared" si="38"/>
        <v>83</v>
      </c>
      <c r="Y70" s="3">
        <f t="shared" si="39"/>
        <v>497</v>
      </c>
      <c r="Z70" s="3">
        <f t="shared" si="40"/>
        <v>1502.5</v>
      </c>
      <c r="AA70" s="3">
        <f t="shared" si="41"/>
        <v>193</v>
      </c>
      <c r="AB70" s="2">
        <f t="shared" si="15"/>
        <v>0.49869791666666669</v>
      </c>
      <c r="AC70" s="2">
        <f t="shared" si="16"/>
        <v>0.93917963224893919</v>
      </c>
      <c r="AD70" s="2">
        <f t="shared" si="17"/>
        <v>0.63802083333333337</v>
      </c>
      <c r="AE70" s="2">
        <f t="shared" si="18"/>
        <v>0.60757946210268954</v>
      </c>
    </row>
    <row r="71" spans="3:31" ht="20" customHeight="1">
      <c r="C71" s="3">
        <v>80</v>
      </c>
      <c r="D71" s="3">
        <f t="shared" si="19"/>
        <v>199</v>
      </c>
      <c r="E71" s="3">
        <f t="shared" si="20"/>
        <v>156</v>
      </c>
      <c r="F71" s="3">
        <f t="shared" si="21"/>
        <v>355</v>
      </c>
      <c r="G71" s="5">
        <f t="shared" si="14"/>
        <v>0.56056338028169017</v>
      </c>
      <c r="H71" s="3">
        <f t="shared" si="22"/>
        <v>888</v>
      </c>
      <c r="I71" s="3">
        <f t="shared" si="23"/>
        <v>834</v>
      </c>
      <c r="J71" s="3">
        <f t="shared" si="24"/>
        <v>257</v>
      </c>
      <c r="K71" s="3">
        <f t="shared" si="25"/>
        <v>413</v>
      </c>
      <c r="L71" s="3">
        <f t="shared" si="26"/>
        <v>551</v>
      </c>
      <c r="M71" s="3">
        <f t="shared" si="27"/>
        <v>162</v>
      </c>
      <c r="N71" s="3">
        <f t="shared" si="28"/>
        <v>50</v>
      </c>
      <c r="O71" s="3">
        <f t="shared" si="29"/>
        <v>763</v>
      </c>
      <c r="P71" s="3">
        <f t="shared" si="30"/>
        <v>333</v>
      </c>
      <c r="Q71" s="3">
        <f t="shared" si="31"/>
        <v>58</v>
      </c>
      <c r="R71" s="3">
        <f t="shared" si="32"/>
        <v>12</v>
      </c>
      <c r="S71" s="3">
        <f t="shared" si="33"/>
        <v>10</v>
      </c>
      <c r="T71" s="3">
        <f t="shared" si="34"/>
        <v>525</v>
      </c>
      <c r="U71" s="3">
        <f t="shared" si="35"/>
        <v>22</v>
      </c>
      <c r="V71" s="3">
        <f t="shared" si="36"/>
        <v>32</v>
      </c>
      <c r="W71" s="3">
        <f t="shared" si="37"/>
        <v>4</v>
      </c>
      <c r="X71" s="3">
        <f t="shared" si="38"/>
        <v>91</v>
      </c>
      <c r="Y71" s="3">
        <f t="shared" si="39"/>
        <v>536</v>
      </c>
      <c r="Z71" s="3">
        <f t="shared" si="40"/>
        <v>1622</v>
      </c>
      <c r="AA71" s="3">
        <f t="shared" si="41"/>
        <v>208</v>
      </c>
      <c r="AB71" s="2">
        <f t="shared" si="15"/>
        <v>0.49520383693045561</v>
      </c>
      <c r="AC71" s="2">
        <f t="shared" si="16"/>
        <v>0.93446920052424642</v>
      </c>
      <c r="AD71" s="2">
        <f t="shared" si="17"/>
        <v>0.62949640287769781</v>
      </c>
      <c r="AE71" s="2">
        <f t="shared" si="18"/>
        <v>0.60360360360360366</v>
      </c>
    </row>
    <row r="72" spans="3:31" ht="20" customHeight="1">
      <c r="C72" s="3">
        <v>84</v>
      </c>
      <c r="D72" s="3">
        <f t="shared" si="19"/>
        <v>210</v>
      </c>
      <c r="E72" s="3">
        <f t="shared" si="20"/>
        <v>164</v>
      </c>
      <c r="F72" s="3">
        <f t="shared" si="21"/>
        <v>374</v>
      </c>
      <c r="G72" s="5">
        <f t="shared" ref="G72" si="42">D72/F72</f>
        <v>0.56149732620320858</v>
      </c>
      <c r="H72" s="3">
        <f t="shared" si="22"/>
        <v>944</v>
      </c>
      <c r="I72" s="3">
        <f t="shared" si="23"/>
        <v>880</v>
      </c>
      <c r="J72" s="3">
        <f t="shared" si="24"/>
        <v>271</v>
      </c>
      <c r="K72" s="3">
        <f t="shared" si="25"/>
        <v>437</v>
      </c>
      <c r="L72" s="3">
        <f t="shared" si="26"/>
        <v>574</v>
      </c>
      <c r="M72" s="3">
        <f t="shared" si="27"/>
        <v>186</v>
      </c>
      <c r="N72" s="3">
        <f t="shared" si="28"/>
        <v>53</v>
      </c>
      <c r="O72" s="3">
        <f t="shared" si="29"/>
        <v>813</v>
      </c>
      <c r="P72" s="3">
        <f t="shared" si="30"/>
        <v>356</v>
      </c>
      <c r="Q72" s="3">
        <f t="shared" si="31"/>
        <v>58</v>
      </c>
      <c r="R72" s="3">
        <f t="shared" si="32"/>
        <v>13</v>
      </c>
      <c r="S72" s="3">
        <f t="shared" si="33"/>
        <v>10</v>
      </c>
      <c r="T72" s="3">
        <f t="shared" si="34"/>
        <v>551</v>
      </c>
      <c r="U72" s="3">
        <f t="shared" si="35"/>
        <v>27</v>
      </c>
      <c r="V72" s="3">
        <f t="shared" si="36"/>
        <v>37</v>
      </c>
      <c r="W72" s="3">
        <f t="shared" si="37"/>
        <v>4</v>
      </c>
      <c r="X72" s="3">
        <f t="shared" si="38"/>
        <v>100</v>
      </c>
      <c r="Y72" s="3">
        <f t="shared" si="39"/>
        <v>574</v>
      </c>
      <c r="Z72" s="4">
        <f t="shared" si="40"/>
        <v>1733.5</v>
      </c>
      <c r="AA72" s="3">
        <f t="shared" si="41"/>
        <v>221</v>
      </c>
      <c r="AB72" s="2">
        <f t="shared" ref="AB72" si="43">K72/I72</f>
        <v>0.49659090909090908</v>
      </c>
      <c r="AC72" s="2">
        <f t="shared" ref="AC72" si="44">(L72+M72)/O72</f>
        <v>0.93480934809348093</v>
      </c>
      <c r="AD72" s="2">
        <f t="shared" ref="AD72" si="45">T72/I72</f>
        <v>0.6261363636363636</v>
      </c>
      <c r="AE72" s="2">
        <f t="shared" ref="AE72" si="46">Y72/H72</f>
        <v>0.60805084745762716</v>
      </c>
    </row>
    <row r="73" spans="3:31" ht="20" customHeight="1">
      <c r="C73" s="3">
        <v>84</v>
      </c>
      <c r="D73" s="3">
        <f t="shared" si="19"/>
        <v>210</v>
      </c>
      <c r="E73" s="3">
        <f t="shared" si="20"/>
        <v>164</v>
      </c>
      <c r="F73" s="3">
        <f t="shared" si="21"/>
        <v>374</v>
      </c>
      <c r="G73" s="5">
        <f t="shared" si="14"/>
        <v>0.56149732620320858</v>
      </c>
      <c r="H73" s="3">
        <f t="shared" si="22"/>
        <v>944</v>
      </c>
      <c r="I73" s="3">
        <f t="shared" si="23"/>
        <v>926</v>
      </c>
      <c r="J73" s="3">
        <f t="shared" si="24"/>
        <v>271</v>
      </c>
      <c r="K73" s="3">
        <f t="shared" si="25"/>
        <v>461</v>
      </c>
      <c r="L73" s="3">
        <f t="shared" si="26"/>
        <v>597</v>
      </c>
      <c r="M73" s="3">
        <f t="shared" si="27"/>
        <v>210</v>
      </c>
      <c r="N73" s="3">
        <f t="shared" si="28"/>
        <v>56</v>
      </c>
      <c r="O73" s="3">
        <f t="shared" si="29"/>
        <v>863</v>
      </c>
      <c r="P73" s="3">
        <f t="shared" si="30"/>
        <v>356</v>
      </c>
      <c r="Q73" s="3">
        <f t="shared" si="31"/>
        <v>58</v>
      </c>
      <c r="R73" s="3">
        <f t="shared" si="32"/>
        <v>13</v>
      </c>
      <c r="S73" s="3">
        <f t="shared" si="33"/>
        <v>10</v>
      </c>
      <c r="T73" s="3">
        <f t="shared" si="34"/>
        <v>551</v>
      </c>
      <c r="U73" s="3">
        <f t="shared" si="35"/>
        <v>27</v>
      </c>
      <c r="V73" s="3">
        <f t="shared" si="36"/>
        <v>37</v>
      </c>
      <c r="W73" s="3">
        <f t="shared" si="37"/>
        <v>4</v>
      </c>
      <c r="X73" s="3">
        <f t="shared" si="38"/>
        <v>100</v>
      </c>
      <c r="Y73" s="3">
        <f t="shared" si="39"/>
        <v>574</v>
      </c>
      <c r="Z73" s="4">
        <f t="shared" si="40"/>
        <v>1733.5</v>
      </c>
      <c r="AA73" s="3">
        <f t="shared" si="41"/>
        <v>221</v>
      </c>
      <c r="AB73" s="2">
        <f t="shared" si="15"/>
        <v>0.49784017278617709</v>
      </c>
      <c r="AC73" s="2">
        <f t="shared" si="16"/>
        <v>0.93511008111239857</v>
      </c>
      <c r="AD73" s="2">
        <f>T72/I72</f>
        <v>0.6261363636363636</v>
      </c>
      <c r="AE73" s="2">
        <f t="shared" si="18"/>
        <v>0.60805084745762716</v>
      </c>
    </row>
    <row r="74" spans="3:31" ht="20" customHeight="1">
      <c r="C74" s="3">
        <v>84</v>
      </c>
      <c r="D74" s="3">
        <f t="shared" si="19"/>
        <v>215</v>
      </c>
      <c r="E74" s="3">
        <f t="shared" si="20"/>
        <v>168</v>
      </c>
      <c r="F74" s="3">
        <f t="shared" si="21"/>
        <v>383</v>
      </c>
      <c r="G74" s="5">
        <f t="shared" si="14"/>
        <v>0.56135770234986948</v>
      </c>
      <c r="H74" s="3">
        <f t="shared" si="22"/>
        <v>975</v>
      </c>
      <c r="I74" s="3">
        <f t="shared" si="23"/>
        <v>954</v>
      </c>
      <c r="J74" s="3">
        <f t="shared" si="24"/>
        <v>273</v>
      </c>
      <c r="K74" s="3">
        <f t="shared" si="25"/>
        <v>473</v>
      </c>
      <c r="L74" s="3">
        <f t="shared" si="26"/>
        <v>609</v>
      </c>
      <c r="M74" s="3">
        <f t="shared" si="27"/>
        <v>219</v>
      </c>
      <c r="N74" s="3">
        <f t="shared" si="28"/>
        <v>58</v>
      </c>
      <c r="O74" s="3">
        <f t="shared" si="29"/>
        <v>886</v>
      </c>
      <c r="P74" s="3">
        <f t="shared" si="30"/>
        <v>368</v>
      </c>
      <c r="Q74" s="3">
        <f t="shared" si="31"/>
        <v>58</v>
      </c>
      <c r="R74" s="3">
        <f t="shared" si="32"/>
        <v>13</v>
      </c>
      <c r="S74" s="3">
        <f t="shared" si="33"/>
        <v>10</v>
      </c>
      <c r="T74" s="3">
        <f t="shared" si="34"/>
        <v>563</v>
      </c>
      <c r="U74" s="3">
        <f t="shared" si="35"/>
        <v>28</v>
      </c>
      <c r="V74" s="3">
        <f t="shared" si="36"/>
        <v>39</v>
      </c>
      <c r="W74" s="3">
        <f t="shared" si="37"/>
        <v>4</v>
      </c>
      <c r="X74" s="3">
        <f t="shared" si="38"/>
        <v>101</v>
      </c>
      <c r="Y74" s="3">
        <f t="shared" si="39"/>
        <v>589</v>
      </c>
      <c r="Z74" s="3">
        <f t="shared" si="40"/>
        <v>1799.5</v>
      </c>
      <c r="AA74" s="3">
        <f t="shared" si="41"/>
        <v>226</v>
      </c>
      <c r="AB74" s="2">
        <f t="shared" si="15"/>
        <v>0.49580712788259956</v>
      </c>
      <c r="AC74" s="2">
        <f t="shared" si="16"/>
        <v>0.93453724604966137</v>
      </c>
      <c r="AD74" s="2">
        <f>T74/(I74-46)</f>
        <v>0.62004405286343611</v>
      </c>
      <c r="AE74" s="2">
        <f t="shared" si="18"/>
        <v>0.60410256410256413</v>
      </c>
    </row>
    <row r="75" spans="3:31" ht="20" customHeight="1">
      <c r="C75" s="3">
        <v>85</v>
      </c>
      <c r="D75" s="3">
        <f t="shared" si="19"/>
        <v>224</v>
      </c>
      <c r="E75" s="3">
        <f t="shared" si="20"/>
        <v>175</v>
      </c>
      <c r="F75" s="3">
        <f t="shared" si="21"/>
        <v>399</v>
      </c>
      <c r="G75" s="5">
        <f t="shared" si="14"/>
        <v>0.56140350877192979</v>
      </c>
      <c r="H75" s="3">
        <f t="shared" si="22"/>
        <v>1029</v>
      </c>
      <c r="I75" s="3">
        <f t="shared" si="23"/>
        <v>1005</v>
      </c>
      <c r="J75" s="3">
        <f t="shared" si="24"/>
        <v>286</v>
      </c>
      <c r="K75" s="3">
        <f t="shared" si="25"/>
        <v>492</v>
      </c>
      <c r="L75" s="3">
        <f t="shared" si="26"/>
        <v>633</v>
      </c>
      <c r="M75" s="3">
        <f t="shared" si="27"/>
        <v>236</v>
      </c>
      <c r="N75" s="3">
        <f t="shared" si="28"/>
        <v>65</v>
      </c>
      <c r="O75" s="3">
        <f t="shared" si="29"/>
        <v>934</v>
      </c>
      <c r="P75" s="3">
        <f t="shared" si="30"/>
        <v>384</v>
      </c>
      <c r="Q75" s="3">
        <f t="shared" si="31"/>
        <v>60</v>
      </c>
      <c r="R75" s="3">
        <f t="shared" si="32"/>
        <v>14</v>
      </c>
      <c r="S75" s="3">
        <f t="shared" si="33"/>
        <v>10</v>
      </c>
      <c r="T75" s="3">
        <f t="shared" si="34"/>
        <v>586</v>
      </c>
      <c r="U75" s="3">
        <f t="shared" si="35"/>
        <v>29</v>
      </c>
      <c r="V75" s="3">
        <f t="shared" si="36"/>
        <v>41</v>
      </c>
      <c r="W75" s="3">
        <f t="shared" si="37"/>
        <v>4</v>
      </c>
      <c r="X75" s="3">
        <f t="shared" si="38"/>
        <v>107</v>
      </c>
      <c r="Y75" s="3">
        <f t="shared" si="39"/>
        <v>616</v>
      </c>
      <c r="Z75" s="3">
        <f t="shared" si="40"/>
        <v>1899</v>
      </c>
      <c r="AA75" s="3">
        <f t="shared" si="41"/>
        <v>234</v>
      </c>
      <c r="AB75" s="2">
        <f t="shared" si="15"/>
        <v>0.48955223880597015</v>
      </c>
      <c r="AC75" s="2">
        <f t="shared" si="16"/>
        <v>0.93040685224839403</v>
      </c>
      <c r="AD75" s="2">
        <f>T75/(I75-46)</f>
        <v>0.61105318039624612</v>
      </c>
      <c r="AE75" s="2">
        <f t="shared" si="18"/>
        <v>0.59863945578231292</v>
      </c>
    </row>
    <row r="76" spans="3:31" ht="20" customHeight="1">
      <c r="C76" s="3">
        <v>85</v>
      </c>
      <c r="D76" s="3">
        <f t="shared" si="19"/>
        <v>225</v>
      </c>
      <c r="E76" s="3">
        <f t="shared" si="20"/>
        <v>177</v>
      </c>
      <c r="F76" s="3">
        <f t="shared" si="21"/>
        <v>402</v>
      </c>
      <c r="G76" s="5">
        <f t="shared" si="14"/>
        <v>0.55970149253731338</v>
      </c>
      <c r="H76" s="3">
        <f t="shared" si="22"/>
        <v>1040</v>
      </c>
      <c r="I76" s="3">
        <f t="shared" si="23"/>
        <v>1016</v>
      </c>
      <c r="J76" s="3">
        <f t="shared" si="24"/>
        <v>287</v>
      </c>
      <c r="K76" s="3">
        <f t="shared" si="25"/>
        <v>499</v>
      </c>
      <c r="L76" s="3">
        <f t="shared" si="26"/>
        <v>635</v>
      </c>
      <c r="M76" s="3">
        <f t="shared" si="27"/>
        <v>245</v>
      </c>
      <c r="N76" s="3">
        <f t="shared" si="28"/>
        <v>65</v>
      </c>
      <c r="O76" s="3">
        <f t="shared" si="29"/>
        <v>945</v>
      </c>
      <c r="P76" s="3">
        <f t="shared" si="30"/>
        <v>391</v>
      </c>
      <c r="Q76" s="3">
        <f t="shared" si="31"/>
        <v>60</v>
      </c>
      <c r="R76" s="3">
        <f t="shared" si="32"/>
        <v>14</v>
      </c>
      <c r="S76" s="3">
        <f t="shared" si="33"/>
        <v>10</v>
      </c>
      <c r="T76" s="3">
        <f t="shared" si="34"/>
        <v>593</v>
      </c>
      <c r="U76" s="3">
        <f t="shared" si="35"/>
        <v>29</v>
      </c>
      <c r="V76" s="3">
        <f t="shared" si="36"/>
        <v>41</v>
      </c>
      <c r="W76" s="3">
        <f t="shared" si="37"/>
        <v>4</v>
      </c>
      <c r="X76" s="3">
        <f t="shared" si="38"/>
        <v>108</v>
      </c>
      <c r="Y76" s="3">
        <f t="shared" si="39"/>
        <v>624</v>
      </c>
      <c r="Z76" s="3">
        <f t="shared" si="40"/>
        <v>1920</v>
      </c>
      <c r="AA76" s="3">
        <f t="shared" si="41"/>
        <v>237</v>
      </c>
      <c r="AB76" s="2">
        <f t="shared" si="15"/>
        <v>0.49114173228346458</v>
      </c>
      <c r="AC76" s="2">
        <f t="shared" si="16"/>
        <v>0.93121693121693117</v>
      </c>
      <c r="AD76" s="2">
        <f t="shared" ref="AD76:AD99" si="47">T76/(I76-46)</f>
        <v>0.61134020618556706</v>
      </c>
      <c r="AE76" s="2">
        <f t="shared" si="18"/>
        <v>0.6</v>
      </c>
    </row>
    <row r="77" spans="3:31" ht="20" customHeight="1">
      <c r="C77" s="3">
        <v>86</v>
      </c>
      <c r="D77" s="3">
        <f t="shared" si="19"/>
        <v>233</v>
      </c>
      <c r="E77" s="3">
        <f t="shared" si="20"/>
        <v>189</v>
      </c>
      <c r="F77" s="3">
        <f t="shared" si="21"/>
        <v>422</v>
      </c>
      <c r="G77" s="5">
        <f t="shared" si="14"/>
        <v>0.55213270142180093</v>
      </c>
      <c r="H77" s="3">
        <f t="shared" si="22"/>
        <v>1089</v>
      </c>
      <c r="I77" s="3">
        <f t="shared" si="23"/>
        <v>1060</v>
      </c>
      <c r="J77" s="3">
        <f t="shared" si="24"/>
        <v>300</v>
      </c>
      <c r="K77" s="3">
        <f t="shared" si="25"/>
        <v>519</v>
      </c>
      <c r="L77" s="3">
        <f t="shared" si="26"/>
        <v>661</v>
      </c>
      <c r="M77" s="3">
        <f t="shared" si="27"/>
        <v>261</v>
      </c>
      <c r="N77" s="3">
        <f t="shared" si="28"/>
        <v>65</v>
      </c>
      <c r="O77" s="3">
        <f t="shared" si="29"/>
        <v>987</v>
      </c>
      <c r="P77" s="3">
        <f t="shared" si="30"/>
        <v>410</v>
      </c>
      <c r="Q77" s="3">
        <f t="shared" si="31"/>
        <v>61</v>
      </c>
      <c r="R77" s="3">
        <f t="shared" si="32"/>
        <v>14</v>
      </c>
      <c r="S77" s="3">
        <f t="shared" si="33"/>
        <v>10</v>
      </c>
      <c r="T77" s="3">
        <f t="shared" si="34"/>
        <v>614</v>
      </c>
      <c r="U77" s="3">
        <f t="shared" si="35"/>
        <v>29</v>
      </c>
      <c r="V77" s="3">
        <f t="shared" si="36"/>
        <v>46</v>
      </c>
      <c r="W77" s="3">
        <f t="shared" si="37"/>
        <v>4</v>
      </c>
      <c r="X77" s="3">
        <f t="shared" si="38"/>
        <v>113</v>
      </c>
      <c r="Y77" s="3">
        <f t="shared" si="39"/>
        <v>654</v>
      </c>
      <c r="Z77" s="3">
        <f t="shared" si="40"/>
        <v>2020.5</v>
      </c>
      <c r="AA77" s="3">
        <f t="shared" si="41"/>
        <v>243</v>
      </c>
      <c r="AB77" s="2">
        <f t="shared" si="15"/>
        <v>0.48962264150943396</v>
      </c>
      <c r="AC77" s="2">
        <f t="shared" si="16"/>
        <v>0.93414387031408308</v>
      </c>
      <c r="AD77" s="2">
        <f t="shared" si="47"/>
        <v>0.60552268244575935</v>
      </c>
      <c r="AE77" s="2">
        <f t="shared" si="18"/>
        <v>0.60055096418732778</v>
      </c>
    </row>
    <row r="78" spans="3:31" ht="20" customHeight="1">
      <c r="C78" s="3">
        <v>86</v>
      </c>
      <c r="D78" s="3">
        <f t="shared" si="19"/>
        <v>233</v>
      </c>
      <c r="E78" s="3">
        <f t="shared" si="20"/>
        <v>191</v>
      </c>
      <c r="F78" s="3">
        <f t="shared" si="21"/>
        <v>424</v>
      </c>
      <c r="G78" s="5">
        <f t="shared" si="14"/>
        <v>0.54952830188679247</v>
      </c>
      <c r="H78" s="3">
        <f t="shared" si="22"/>
        <v>1095</v>
      </c>
      <c r="I78" s="3">
        <f t="shared" si="23"/>
        <v>1066</v>
      </c>
      <c r="J78" s="3">
        <f t="shared" si="24"/>
        <v>300</v>
      </c>
      <c r="K78" s="3">
        <f t="shared" si="25"/>
        <v>520</v>
      </c>
      <c r="L78" s="3">
        <f t="shared" si="26"/>
        <v>668</v>
      </c>
      <c r="M78" s="3">
        <f t="shared" si="27"/>
        <v>262</v>
      </c>
      <c r="N78" s="3">
        <f t="shared" si="28"/>
        <v>65</v>
      </c>
      <c r="O78" s="3">
        <f t="shared" si="29"/>
        <v>995</v>
      </c>
      <c r="P78" s="3">
        <f t="shared" si="30"/>
        <v>411</v>
      </c>
      <c r="Q78" s="3">
        <f t="shared" si="31"/>
        <v>61</v>
      </c>
      <c r="R78" s="3">
        <f t="shared" si="32"/>
        <v>14</v>
      </c>
      <c r="S78" s="3">
        <f t="shared" si="33"/>
        <v>10</v>
      </c>
      <c r="T78" s="3">
        <f t="shared" si="34"/>
        <v>615</v>
      </c>
      <c r="U78" s="3">
        <f t="shared" si="35"/>
        <v>29</v>
      </c>
      <c r="V78" s="3">
        <f t="shared" si="36"/>
        <v>46</v>
      </c>
      <c r="W78" s="3">
        <f t="shared" si="37"/>
        <v>4</v>
      </c>
      <c r="X78" s="3">
        <f t="shared" si="38"/>
        <v>113</v>
      </c>
      <c r="Y78" s="3">
        <f t="shared" si="39"/>
        <v>655</v>
      </c>
      <c r="Z78" s="3">
        <f t="shared" si="40"/>
        <v>2034.5</v>
      </c>
      <c r="AA78" s="3">
        <f t="shared" si="41"/>
        <v>244</v>
      </c>
      <c r="AB78" s="2">
        <f t="shared" si="15"/>
        <v>0.48780487804878048</v>
      </c>
      <c r="AC78" s="2">
        <f t="shared" si="16"/>
        <v>0.9346733668341709</v>
      </c>
      <c r="AD78" s="2">
        <f t="shared" si="47"/>
        <v>0.6029411764705882</v>
      </c>
      <c r="AE78" s="2">
        <f t="shared" si="18"/>
        <v>0.59817351598173518</v>
      </c>
    </row>
    <row r="79" spans="3:31" ht="20" customHeight="1">
      <c r="C79" s="3">
        <v>87</v>
      </c>
      <c r="D79" s="3">
        <f t="shared" si="19"/>
        <v>235</v>
      </c>
      <c r="E79" s="3">
        <f t="shared" si="20"/>
        <v>208</v>
      </c>
      <c r="F79" s="3">
        <f t="shared" si="21"/>
        <v>443</v>
      </c>
      <c r="G79" s="5">
        <f t="shared" si="14"/>
        <v>0.53047404063205417</v>
      </c>
      <c r="H79" s="3">
        <f t="shared" si="22"/>
        <v>1145</v>
      </c>
      <c r="I79" s="3">
        <f t="shared" si="23"/>
        <v>1110</v>
      </c>
      <c r="J79" s="3">
        <f t="shared" si="24"/>
        <v>303</v>
      </c>
      <c r="K79" s="3">
        <f t="shared" si="25"/>
        <v>532</v>
      </c>
      <c r="L79" s="3">
        <f t="shared" si="26"/>
        <v>712</v>
      </c>
      <c r="M79" s="3">
        <f t="shared" si="27"/>
        <v>284</v>
      </c>
      <c r="N79" s="3">
        <f t="shared" si="28"/>
        <v>74</v>
      </c>
      <c r="O79" s="3">
        <f t="shared" si="29"/>
        <v>1070</v>
      </c>
      <c r="P79" s="3">
        <f t="shared" si="30"/>
        <v>422</v>
      </c>
      <c r="Q79" s="3">
        <f t="shared" si="31"/>
        <v>62</v>
      </c>
      <c r="R79" s="3">
        <f t="shared" si="32"/>
        <v>14</v>
      </c>
      <c r="S79" s="3">
        <f t="shared" si="33"/>
        <v>10</v>
      </c>
      <c r="T79" s="3">
        <f t="shared" si="34"/>
        <v>628</v>
      </c>
      <c r="U79" s="3">
        <f t="shared" si="35"/>
        <v>31</v>
      </c>
      <c r="V79" s="3">
        <f t="shared" si="36"/>
        <v>50</v>
      </c>
      <c r="W79" s="3">
        <f t="shared" si="37"/>
        <v>4</v>
      </c>
      <c r="X79" s="3">
        <f t="shared" si="38"/>
        <v>119</v>
      </c>
      <c r="Y79" s="3">
        <f t="shared" si="39"/>
        <v>677</v>
      </c>
      <c r="Z79" s="3">
        <f t="shared" si="40"/>
        <v>2143</v>
      </c>
      <c r="AA79" s="3">
        <f t="shared" si="41"/>
        <v>252</v>
      </c>
      <c r="AB79" s="2">
        <f t="shared" si="15"/>
        <v>0.47927927927927927</v>
      </c>
      <c r="AC79" s="2">
        <f t="shared" si="16"/>
        <v>0.93084112149532705</v>
      </c>
      <c r="AD79" s="2">
        <f t="shared" si="47"/>
        <v>0.59022556390977443</v>
      </c>
      <c r="AE79" s="2">
        <f t="shared" si="18"/>
        <v>0.59126637554585149</v>
      </c>
    </row>
    <row r="80" spans="3:31" ht="20" customHeight="1">
      <c r="C80" s="3">
        <v>88</v>
      </c>
      <c r="D80" s="3">
        <f t="shared" si="19"/>
        <v>244</v>
      </c>
      <c r="E80" s="3">
        <f t="shared" si="20"/>
        <v>216</v>
      </c>
      <c r="F80" s="3">
        <f t="shared" si="21"/>
        <v>460</v>
      </c>
      <c r="G80" s="5">
        <f t="shared" si="14"/>
        <v>0.5304347826086957</v>
      </c>
      <c r="H80" s="3">
        <f t="shared" si="22"/>
        <v>1182</v>
      </c>
      <c r="I80" s="3">
        <f t="shared" si="23"/>
        <v>1145</v>
      </c>
      <c r="J80" s="3">
        <f t="shared" si="24"/>
        <v>311</v>
      </c>
      <c r="K80" s="3">
        <f t="shared" si="25"/>
        <v>547</v>
      </c>
      <c r="L80" s="3">
        <f t="shared" si="26"/>
        <v>723</v>
      </c>
      <c r="M80" s="3">
        <f t="shared" si="27"/>
        <v>297</v>
      </c>
      <c r="N80" s="3">
        <f t="shared" si="28"/>
        <v>79</v>
      </c>
      <c r="O80" s="3">
        <f t="shared" si="29"/>
        <v>1099</v>
      </c>
      <c r="P80" s="3">
        <f t="shared" si="30"/>
        <v>437</v>
      </c>
      <c r="Q80" s="3">
        <f t="shared" si="31"/>
        <v>62</v>
      </c>
      <c r="R80" s="3">
        <f t="shared" si="32"/>
        <v>14</v>
      </c>
      <c r="S80" s="3">
        <f t="shared" si="33"/>
        <v>10</v>
      </c>
      <c r="T80" s="3">
        <f t="shared" si="34"/>
        <v>643</v>
      </c>
      <c r="U80" s="3">
        <f t="shared" si="35"/>
        <v>32</v>
      </c>
      <c r="V80" s="3">
        <f t="shared" si="36"/>
        <v>51</v>
      </c>
      <c r="W80" s="3">
        <f t="shared" si="37"/>
        <v>6</v>
      </c>
      <c r="X80" s="3">
        <f t="shared" si="38"/>
        <v>121</v>
      </c>
      <c r="Y80" s="3">
        <f t="shared" si="39"/>
        <v>695</v>
      </c>
      <c r="Z80" s="3">
        <f t="shared" si="40"/>
        <v>2211.5</v>
      </c>
      <c r="AA80" s="3">
        <f t="shared" si="41"/>
        <v>261</v>
      </c>
      <c r="AB80" s="2">
        <f t="shared" si="15"/>
        <v>0.47772925764192142</v>
      </c>
      <c r="AC80" s="2">
        <f t="shared" si="16"/>
        <v>0.9281164695177434</v>
      </c>
      <c r="AD80" s="2">
        <f t="shared" si="47"/>
        <v>0.58507734303912651</v>
      </c>
      <c r="AE80" s="2">
        <f t="shared" si="18"/>
        <v>0.58798646362098139</v>
      </c>
    </row>
    <row r="81" spans="3:31" ht="20" customHeight="1">
      <c r="C81" s="3">
        <v>89</v>
      </c>
      <c r="D81" s="3">
        <f t="shared" si="19"/>
        <v>250</v>
      </c>
      <c r="E81" s="3">
        <f t="shared" si="20"/>
        <v>229</v>
      </c>
      <c r="F81" s="3">
        <f t="shared" si="21"/>
        <v>479</v>
      </c>
      <c r="G81" s="5">
        <f t="shared" si="14"/>
        <v>0.52192066805845516</v>
      </c>
      <c r="H81" s="3">
        <f t="shared" si="22"/>
        <v>1238</v>
      </c>
      <c r="I81" s="3">
        <f t="shared" si="23"/>
        <v>1197</v>
      </c>
      <c r="J81" s="3">
        <f t="shared" si="24"/>
        <v>321</v>
      </c>
      <c r="K81" s="3">
        <f t="shared" si="25"/>
        <v>569</v>
      </c>
      <c r="L81" s="3">
        <f t="shared" si="26"/>
        <v>749</v>
      </c>
      <c r="M81" s="3">
        <f t="shared" si="27"/>
        <v>331</v>
      </c>
      <c r="N81" s="3">
        <f t="shared" si="28"/>
        <v>83</v>
      </c>
      <c r="O81" s="3">
        <f t="shared" si="29"/>
        <v>1163</v>
      </c>
      <c r="P81" s="3">
        <f t="shared" si="30"/>
        <v>457</v>
      </c>
      <c r="Q81" s="3">
        <f t="shared" si="31"/>
        <v>62</v>
      </c>
      <c r="R81" s="3">
        <f t="shared" si="32"/>
        <v>15</v>
      </c>
      <c r="S81" s="3">
        <f t="shared" si="33"/>
        <v>11</v>
      </c>
      <c r="T81" s="3">
        <f t="shared" si="34"/>
        <v>670</v>
      </c>
      <c r="U81" s="3">
        <f t="shared" si="35"/>
        <v>33</v>
      </c>
      <c r="V81" s="3">
        <f t="shared" si="36"/>
        <v>54</v>
      </c>
      <c r="W81" s="3">
        <f t="shared" si="37"/>
        <v>6</v>
      </c>
      <c r="X81" s="3">
        <f t="shared" si="38"/>
        <v>126</v>
      </c>
      <c r="Y81" s="3">
        <f t="shared" si="39"/>
        <v>725</v>
      </c>
      <c r="Z81" s="3">
        <f t="shared" si="40"/>
        <v>2321</v>
      </c>
      <c r="AA81" s="3">
        <f t="shared" si="41"/>
        <v>265</v>
      </c>
      <c r="AB81" s="2">
        <f t="shared" si="15"/>
        <v>0.4753550543024227</v>
      </c>
      <c r="AC81" s="2">
        <f t="shared" si="16"/>
        <v>0.92863284608770424</v>
      </c>
      <c r="AD81" s="2">
        <f t="shared" si="47"/>
        <v>0.5821025195482189</v>
      </c>
      <c r="AE81" s="2">
        <f t="shared" si="18"/>
        <v>0.58562197092084012</v>
      </c>
    </row>
    <row r="82" spans="3:31" ht="20" customHeight="1">
      <c r="C82" s="3">
        <v>90</v>
      </c>
      <c r="D82" s="3">
        <f t="shared" si="19"/>
        <v>254</v>
      </c>
      <c r="E82" s="3">
        <f t="shared" si="20"/>
        <v>245</v>
      </c>
      <c r="F82" s="3">
        <f t="shared" si="21"/>
        <v>499</v>
      </c>
      <c r="G82" s="5">
        <f t="shared" si="14"/>
        <v>0.50901803607214424</v>
      </c>
      <c r="H82" s="3">
        <f t="shared" si="22"/>
        <v>1305</v>
      </c>
      <c r="I82" s="3">
        <f t="shared" si="23"/>
        <v>1260</v>
      </c>
      <c r="J82" s="3">
        <f t="shared" si="24"/>
        <v>336</v>
      </c>
      <c r="K82" s="3">
        <f t="shared" si="25"/>
        <v>598</v>
      </c>
      <c r="L82" s="3">
        <f t="shared" si="26"/>
        <v>782</v>
      </c>
      <c r="M82" s="3">
        <f t="shared" si="27"/>
        <v>355</v>
      </c>
      <c r="N82" s="3">
        <f t="shared" si="28"/>
        <v>97</v>
      </c>
      <c r="O82" s="3">
        <f t="shared" si="29"/>
        <v>1234</v>
      </c>
      <c r="P82" s="3">
        <f t="shared" si="30"/>
        <v>483</v>
      </c>
      <c r="Q82" s="3">
        <f t="shared" si="31"/>
        <v>64</v>
      </c>
      <c r="R82" s="3">
        <f t="shared" si="32"/>
        <v>16</v>
      </c>
      <c r="S82" s="3">
        <f t="shared" si="33"/>
        <v>11</v>
      </c>
      <c r="T82" s="3">
        <f t="shared" si="34"/>
        <v>703</v>
      </c>
      <c r="U82" s="3">
        <f t="shared" si="35"/>
        <v>34</v>
      </c>
      <c r="V82" s="3">
        <f t="shared" si="36"/>
        <v>57</v>
      </c>
      <c r="W82" s="3">
        <f t="shared" si="37"/>
        <v>8</v>
      </c>
      <c r="X82" s="3">
        <f t="shared" si="38"/>
        <v>132</v>
      </c>
      <c r="Y82" s="3">
        <f t="shared" si="39"/>
        <v>763</v>
      </c>
      <c r="Z82" s="3">
        <f t="shared" si="40"/>
        <v>2443.5</v>
      </c>
      <c r="AA82" s="3">
        <f t="shared" si="41"/>
        <v>275</v>
      </c>
      <c r="AB82" s="2">
        <f t="shared" si="15"/>
        <v>0.47460317460317458</v>
      </c>
      <c r="AC82" s="2">
        <f t="shared" si="16"/>
        <v>0.92139384116693679</v>
      </c>
      <c r="AD82" s="2">
        <f t="shared" si="47"/>
        <v>0.57907742998352552</v>
      </c>
      <c r="AE82" s="2">
        <f t="shared" si="18"/>
        <v>0.58467432950191567</v>
      </c>
    </row>
    <row r="83" spans="3:31" ht="20" customHeight="1">
      <c r="C83" s="3">
        <v>91</v>
      </c>
      <c r="D83" s="3">
        <f t="shared" si="19"/>
        <v>255</v>
      </c>
      <c r="E83" s="3">
        <f t="shared" si="20"/>
        <v>264</v>
      </c>
      <c r="F83" s="3">
        <f t="shared" si="21"/>
        <v>519</v>
      </c>
      <c r="G83" s="5">
        <f t="shared" si="14"/>
        <v>0.4913294797687861</v>
      </c>
      <c r="H83" s="3">
        <f t="shared" si="22"/>
        <v>1367</v>
      </c>
      <c r="I83" s="3">
        <f t="shared" si="23"/>
        <v>1316</v>
      </c>
      <c r="J83" s="3">
        <f t="shared" si="24"/>
        <v>348</v>
      </c>
      <c r="K83" s="3">
        <f t="shared" si="25"/>
        <v>625</v>
      </c>
      <c r="L83" s="3">
        <f t="shared" si="26"/>
        <v>807</v>
      </c>
      <c r="M83" s="3">
        <f t="shared" si="27"/>
        <v>385</v>
      </c>
      <c r="N83" s="3">
        <f t="shared" si="28"/>
        <v>105</v>
      </c>
      <c r="O83" s="3">
        <f t="shared" si="29"/>
        <v>1297</v>
      </c>
      <c r="P83" s="3">
        <f t="shared" si="30"/>
        <v>507</v>
      </c>
      <c r="Q83" s="3">
        <f t="shared" si="31"/>
        <v>64</v>
      </c>
      <c r="R83" s="3">
        <f t="shared" si="32"/>
        <v>18</v>
      </c>
      <c r="S83" s="3">
        <f t="shared" si="33"/>
        <v>12</v>
      </c>
      <c r="T83" s="3">
        <f t="shared" si="34"/>
        <v>737</v>
      </c>
      <c r="U83" s="3">
        <f t="shared" si="35"/>
        <v>35</v>
      </c>
      <c r="V83" s="3">
        <f t="shared" si="36"/>
        <v>62</v>
      </c>
      <c r="W83" s="3">
        <f t="shared" si="37"/>
        <v>8</v>
      </c>
      <c r="X83" s="3">
        <f t="shared" si="38"/>
        <v>134</v>
      </c>
      <c r="Y83" s="3">
        <f t="shared" si="39"/>
        <v>797</v>
      </c>
      <c r="Z83" s="3">
        <f t="shared" si="40"/>
        <v>2564</v>
      </c>
      <c r="AA83" s="3">
        <f t="shared" si="41"/>
        <v>288</v>
      </c>
      <c r="AB83" s="2">
        <f t="shared" si="15"/>
        <v>0.47492401215805469</v>
      </c>
      <c r="AC83" s="2">
        <f t="shared" si="16"/>
        <v>0.91904394757131846</v>
      </c>
      <c r="AD83" s="2">
        <f t="shared" si="47"/>
        <v>0.58031496062992127</v>
      </c>
      <c r="AE83" s="2">
        <f t="shared" si="18"/>
        <v>0.58302852962692031</v>
      </c>
    </row>
    <row r="84" spans="3:31" ht="20" customHeight="1">
      <c r="C84" s="3">
        <v>92</v>
      </c>
      <c r="D84" s="3">
        <f t="shared" si="19"/>
        <v>255</v>
      </c>
      <c r="E84" s="3">
        <f t="shared" si="20"/>
        <v>284</v>
      </c>
      <c r="F84" s="3">
        <f t="shared" si="21"/>
        <v>539</v>
      </c>
      <c r="G84" s="5">
        <f t="shared" si="14"/>
        <v>0.47309833024118736</v>
      </c>
      <c r="H84" s="3">
        <f t="shared" si="22"/>
        <v>1430</v>
      </c>
      <c r="I84" s="3">
        <f t="shared" si="23"/>
        <v>1373</v>
      </c>
      <c r="J84" s="3">
        <f t="shared" si="24"/>
        <v>359</v>
      </c>
      <c r="K84" s="3">
        <f t="shared" si="25"/>
        <v>644</v>
      </c>
      <c r="L84" s="3">
        <f t="shared" si="26"/>
        <v>836</v>
      </c>
      <c r="M84" s="3">
        <f t="shared" si="27"/>
        <v>419</v>
      </c>
      <c r="N84" s="3">
        <f t="shared" si="28"/>
        <v>115</v>
      </c>
      <c r="O84" s="3">
        <f t="shared" si="29"/>
        <v>1370</v>
      </c>
      <c r="P84" s="3">
        <f t="shared" si="30"/>
        <v>524</v>
      </c>
      <c r="Q84" s="3">
        <f t="shared" si="31"/>
        <v>64</v>
      </c>
      <c r="R84" s="3">
        <f t="shared" si="32"/>
        <v>19</v>
      </c>
      <c r="S84" s="3">
        <f t="shared" si="33"/>
        <v>13</v>
      </c>
      <c r="T84" s="3">
        <f t="shared" si="34"/>
        <v>761</v>
      </c>
      <c r="U84" s="3">
        <f t="shared" si="35"/>
        <v>36</v>
      </c>
      <c r="V84" s="3">
        <f t="shared" si="36"/>
        <v>67</v>
      </c>
      <c r="W84" s="3">
        <f t="shared" si="37"/>
        <v>10</v>
      </c>
      <c r="X84" s="3">
        <f t="shared" si="38"/>
        <v>136</v>
      </c>
      <c r="Y84" s="3">
        <f t="shared" si="39"/>
        <v>823</v>
      </c>
      <c r="Z84" s="3">
        <f t="shared" si="40"/>
        <v>2669.5</v>
      </c>
      <c r="AA84" s="3">
        <f t="shared" si="41"/>
        <v>296</v>
      </c>
      <c r="AB84" s="2">
        <f t="shared" si="15"/>
        <v>0.46904588492352511</v>
      </c>
      <c r="AC84" s="2">
        <f t="shared" si="16"/>
        <v>0.91605839416058399</v>
      </c>
      <c r="AD84" s="2">
        <f t="shared" si="47"/>
        <v>0.57347400150715899</v>
      </c>
      <c r="AE84" s="2">
        <f t="shared" si="18"/>
        <v>0.5755244755244755</v>
      </c>
    </row>
    <row r="85" spans="3:31" ht="20" customHeight="1">
      <c r="C85" s="3">
        <v>93</v>
      </c>
      <c r="D85" s="3">
        <f t="shared" si="19"/>
        <v>259</v>
      </c>
      <c r="E85" s="3">
        <f t="shared" si="20"/>
        <v>300</v>
      </c>
      <c r="F85" s="3">
        <f t="shared" si="21"/>
        <v>559</v>
      </c>
      <c r="G85" s="5">
        <f t="shared" si="14"/>
        <v>0.46332737030411447</v>
      </c>
      <c r="H85" s="3">
        <f t="shared" si="22"/>
        <v>1486</v>
      </c>
      <c r="I85" s="3">
        <f t="shared" si="23"/>
        <v>1425</v>
      </c>
      <c r="J85" s="3">
        <f t="shared" si="24"/>
        <v>370</v>
      </c>
      <c r="K85" s="3">
        <f t="shared" si="25"/>
        <v>666</v>
      </c>
      <c r="L85" s="3">
        <f t="shared" si="26"/>
        <v>857</v>
      </c>
      <c r="M85" s="3">
        <f t="shared" si="27"/>
        <v>437</v>
      </c>
      <c r="N85" s="3">
        <f t="shared" si="28"/>
        <v>122</v>
      </c>
      <c r="O85" s="3">
        <f t="shared" si="29"/>
        <v>1416</v>
      </c>
      <c r="P85" s="3">
        <f t="shared" si="30"/>
        <v>544</v>
      </c>
      <c r="Q85" s="3">
        <f t="shared" si="31"/>
        <v>65</v>
      </c>
      <c r="R85" s="3">
        <f t="shared" si="32"/>
        <v>20</v>
      </c>
      <c r="S85" s="3">
        <f t="shared" si="33"/>
        <v>13</v>
      </c>
      <c r="T85" s="3">
        <f t="shared" si="34"/>
        <v>786</v>
      </c>
      <c r="U85" s="3">
        <f t="shared" si="35"/>
        <v>37</v>
      </c>
      <c r="V85" s="3">
        <f t="shared" si="36"/>
        <v>70</v>
      </c>
      <c r="W85" s="3">
        <f t="shared" si="37"/>
        <v>10</v>
      </c>
      <c r="X85" s="3">
        <f t="shared" si="38"/>
        <v>145</v>
      </c>
      <c r="Y85" s="3">
        <f t="shared" si="39"/>
        <v>857</v>
      </c>
      <c r="Z85" s="3">
        <f t="shared" si="40"/>
        <v>2781</v>
      </c>
      <c r="AA85" s="3">
        <f t="shared" si="41"/>
        <v>301</v>
      </c>
      <c r="AB85" s="2">
        <f t="shared" si="15"/>
        <v>0.4673684210526316</v>
      </c>
      <c r="AC85" s="2">
        <f t="shared" si="16"/>
        <v>0.91384180790960456</v>
      </c>
      <c r="AD85" s="2">
        <f t="shared" si="47"/>
        <v>0.56997824510514861</v>
      </c>
      <c r="AE85" s="2">
        <f t="shared" si="18"/>
        <v>0.5767160161507402</v>
      </c>
    </row>
    <row r="86" spans="3:31" ht="20" customHeight="1">
      <c r="C86" s="3">
        <v>94</v>
      </c>
      <c r="D86" s="3">
        <f t="shared" si="19"/>
        <v>263</v>
      </c>
      <c r="E86" s="3">
        <f t="shared" si="20"/>
        <v>316</v>
      </c>
      <c r="F86" s="3">
        <f t="shared" si="21"/>
        <v>579</v>
      </c>
      <c r="G86" s="5">
        <f t="shared" si="14"/>
        <v>0.45423143350604489</v>
      </c>
      <c r="H86" s="3">
        <f t="shared" si="22"/>
        <v>1546</v>
      </c>
      <c r="I86" s="3">
        <f t="shared" si="23"/>
        <v>1475</v>
      </c>
      <c r="J86" s="3">
        <f t="shared" si="24"/>
        <v>389</v>
      </c>
      <c r="K86" s="3">
        <f t="shared" si="25"/>
        <v>692</v>
      </c>
      <c r="L86" s="3">
        <f t="shared" si="26"/>
        <v>880</v>
      </c>
      <c r="M86" s="3">
        <f t="shared" si="27"/>
        <v>459</v>
      </c>
      <c r="N86" s="3">
        <f t="shared" si="28"/>
        <v>123</v>
      </c>
      <c r="O86" s="3">
        <f t="shared" si="29"/>
        <v>1462</v>
      </c>
      <c r="P86" s="3">
        <f t="shared" si="30"/>
        <v>567</v>
      </c>
      <c r="Q86" s="3">
        <f t="shared" si="31"/>
        <v>66</v>
      </c>
      <c r="R86" s="3">
        <f t="shared" si="32"/>
        <v>22</v>
      </c>
      <c r="S86" s="3">
        <f t="shared" si="33"/>
        <v>13</v>
      </c>
      <c r="T86" s="3">
        <f t="shared" si="34"/>
        <v>817</v>
      </c>
      <c r="U86" s="3">
        <f t="shared" si="35"/>
        <v>39</v>
      </c>
      <c r="V86" s="3">
        <f t="shared" si="36"/>
        <v>78</v>
      </c>
      <c r="W86" s="3">
        <f t="shared" si="37"/>
        <v>10</v>
      </c>
      <c r="X86" s="3">
        <f t="shared" si="38"/>
        <v>150</v>
      </c>
      <c r="Y86" s="3">
        <f t="shared" si="39"/>
        <v>896</v>
      </c>
      <c r="Z86" s="3">
        <f t="shared" si="40"/>
        <v>2894.5</v>
      </c>
      <c r="AA86" s="3">
        <f t="shared" si="41"/>
        <v>315</v>
      </c>
      <c r="AB86" s="2">
        <f t="shared" si="15"/>
        <v>0.46915254237288134</v>
      </c>
      <c r="AC86" s="2">
        <f t="shared" si="16"/>
        <v>0.91586867305061559</v>
      </c>
      <c r="AD86" s="2">
        <f t="shared" si="47"/>
        <v>0.57172848145556332</v>
      </c>
      <c r="AE86" s="2">
        <f t="shared" si="18"/>
        <v>0.57956015523932725</v>
      </c>
    </row>
    <row r="87" spans="3:31" ht="20" customHeight="1">
      <c r="C87" s="3">
        <v>95</v>
      </c>
      <c r="D87" s="3">
        <f t="shared" si="19"/>
        <v>265</v>
      </c>
      <c r="E87" s="3">
        <f t="shared" si="20"/>
        <v>334</v>
      </c>
      <c r="F87" s="3">
        <f t="shared" si="21"/>
        <v>599</v>
      </c>
      <c r="G87" s="5">
        <f t="shared" si="14"/>
        <v>0.44240400667779634</v>
      </c>
      <c r="H87" s="3">
        <f t="shared" si="22"/>
        <v>1608</v>
      </c>
      <c r="I87" s="3">
        <f t="shared" si="23"/>
        <v>1529</v>
      </c>
      <c r="J87" s="3">
        <f t="shared" si="24"/>
        <v>408</v>
      </c>
      <c r="K87" s="3">
        <f t="shared" si="25"/>
        <v>721</v>
      </c>
      <c r="L87" s="3">
        <f t="shared" si="26"/>
        <v>916</v>
      </c>
      <c r="M87" s="3">
        <f t="shared" si="27"/>
        <v>497</v>
      </c>
      <c r="N87" s="3">
        <f t="shared" si="28"/>
        <v>127</v>
      </c>
      <c r="O87" s="3">
        <f t="shared" si="29"/>
        <v>1540</v>
      </c>
      <c r="P87" s="3">
        <f t="shared" si="30"/>
        <v>595</v>
      </c>
      <c r="Q87" s="3">
        <f t="shared" si="31"/>
        <v>67</v>
      </c>
      <c r="R87" s="3">
        <f t="shared" si="32"/>
        <v>22</v>
      </c>
      <c r="S87" s="3">
        <f t="shared" si="33"/>
        <v>13</v>
      </c>
      <c r="T87" s="3">
        <f t="shared" si="34"/>
        <v>847</v>
      </c>
      <c r="U87" s="3">
        <f t="shared" si="35"/>
        <v>40</v>
      </c>
      <c r="V87" s="3">
        <f t="shared" si="36"/>
        <v>85</v>
      </c>
      <c r="W87" s="3">
        <f t="shared" si="37"/>
        <v>10</v>
      </c>
      <c r="X87" s="3">
        <f t="shared" si="38"/>
        <v>154</v>
      </c>
      <c r="Y87" s="3">
        <f t="shared" si="39"/>
        <v>936</v>
      </c>
      <c r="Z87" s="3">
        <f t="shared" si="40"/>
        <v>3007.5</v>
      </c>
      <c r="AA87" s="3">
        <f t="shared" si="41"/>
        <v>324</v>
      </c>
      <c r="AB87" s="2">
        <f t="shared" si="15"/>
        <v>0.47155003270111184</v>
      </c>
      <c r="AC87" s="2">
        <f t="shared" si="16"/>
        <v>0.91753246753246753</v>
      </c>
      <c r="AD87" s="2">
        <f t="shared" si="47"/>
        <v>0.57113958192852321</v>
      </c>
      <c r="AE87" s="2">
        <f t="shared" si="18"/>
        <v>0.58208955223880599</v>
      </c>
    </row>
    <row r="88" spans="3:31" ht="20" customHeight="1">
      <c r="C88" s="3">
        <v>96</v>
      </c>
      <c r="D88" s="3">
        <f t="shared" si="19"/>
        <v>276</v>
      </c>
      <c r="E88" s="3">
        <f t="shared" si="20"/>
        <v>344</v>
      </c>
      <c r="F88" s="3">
        <f t="shared" si="21"/>
        <v>620</v>
      </c>
      <c r="G88" s="5">
        <f t="shared" si="14"/>
        <v>0.44516129032258067</v>
      </c>
      <c r="H88" s="3">
        <f t="shared" si="22"/>
        <v>1685</v>
      </c>
      <c r="I88" s="3">
        <f t="shared" si="23"/>
        <v>1593</v>
      </c>
      <c r="J88" s="3">
        <f t="shared" si="24"/>
        <v>430</v>
      </c>
      <c r="K88" s="3">
        <f t="shared" si="25"/>
        <v>750</v>
      </c>
      <c r="L88" s="3">
        <f t="shared" si="26"/>
        <v>974</v>
      </c>
      <c r="M88" s="3">
        <f t="shared" si="27"/>
        <v>513</v>
      </c>
      <c r="N88" s="3">
        <f t="shared" si="28"/>
        <v>135</v>
      </c>
      <c r="O88" s="3">
        <f t="shared" si="29"/>
        <v>1622</v>
      </c>
      <c r="P88" s="3">
        <f t="shared" si="30"/>
        <v>621</v>
      </c>
      <c r="Q88" s="3">
        <f t="shared" si="31"/>
        <v>69</v>
      </c>
      <c r="R88" s="3">
        <f t="shared" si="32"/>
        <v>23</v>
      </c>
      <c r="S88" s="3">
        <f t="shared" si="33"/>
        <v>13</v>
      </c>
      <c r="T88" s="3">
        <f t="shared" si="34"/>
        <v>880</v>
      </c>
      <c r="U88" s="3">
        <f t="shared" si="35"/>
        <v>44</v>
      </c>
      <c r="V88" s="3">
        <f t="shared" si="36"/>
        <v>94</v>
      </c>
      <c r="W88" s="3">
        <f t="shared" si="37"/>
        <v>10</v>
      </c>
      <c r="X88" s="3">
        <f t="shared" si="38"/>
        <v>163</v>
      </c>
      <c r="Y88" s="3">
        <f t="shared" si="39"/>
        <v>983</v>
      </c>
      <c r="Z88" s="3">
        <f t="shared" si="40"/>
        <v>3144.5</v>
      </c>
      <c r="AA88" s="3">
        <f t="shared" si="41"/>
        <v>346</v>
      </c>
      <c r="AB88" s="2">
        <f t="shared" si="15"/>
        <v>0.47080979284369112</v>
      </c>
      <c r="AC88" s="2">
        <f t="shared" si="16"/>
        <v>0.91676942046855736</v>
      </c>
      <c r="AD88" s="2">
        <f t="shared" si="47"/>
        <v>0.56884292178409823</v>
      </c>
      <c r="AE88" s="2">
        <f t="shared" si="18"/>
        <v>0.58338278931750742</v>
      </c>
    </row>
    <row r="89" spans="3:31" ht="20" customHeight="1">
      <c r="C89" s="3">
        <v>97</v>
      </c>
      <c r="D89" s="3">
        <f t="shared" si="19"/>
        <v>280</v>
      </c>
      <c r="E89" s="3">
        <f t="shared" si="20"/>
        <v>360</v>
      </c>
      <c r="F89" s="3">
        <f t="shared" si="21"/>
        <v>640</v>
      </c>
      <c r="G89" s="5">
        <f t="shared" si="14"/>
        <v>0.4375</v>
      </c>
      <c r="H89" s="3">
        <f t="shared" si="22"/>
        <v>1745</v>
      </c>
      <c r="I89" s="3">
        <f t="shared" si="23"/>
        <v>1641</v>
      </c>
      <c r="J89" s="3">
        <f t="shared" si="24"/>
        <v>445</v>
      </c>
      <c r="K89" s="3">
        <f t="shared" si="25"/>
        <v>777</v>
      </c>
      <c r="L89" s="3">
        <f t="shared" si="26"/>
        <v>1002</v>
      </c>
      <c r="M89" s="3">
        <f t="shared" si="27"/>
        <v>528</v>
      </c>
      <c r="N89" s="3">
        <f t="shared" si="28"/>
        <v>147</v>
      </c>
      <c r="O89" s="3">
        <f t="shared" si="29"/>
        <v>1677</v>
      </c>
      <c r="P89" s="3">
        <f t="shared" si="30"/>
        <v>647</v>
      </c>
      <c r="Q89" s="3">
        <f t="shared" si="31"/>
        <v>70</v>
      </c>
      <c r="R89" s="3">
        <f t="shared" si="32"/>
        <v>23</v>
      </c>
      <c r="S89" s="3">
        <f t="shared" si="33"/>
        <v>13</v>
      </c>
      <c r="T89" s="3">
        <f t="shared" si="34"/>
        <v>908</v>
      </c>
      <c r="U89" s="3">
        <f t="shared" si="35"/>
        <v>48</v>
      </c>
      <c r="V89" s="3">
        <f t="shared" si="36"/>
        <v>102</v>
      </c>
      <c r="W89" s="3">
        <f t="shared" si="37"/>
        <v>10</v>
      </c>
      <c r="X89" s="3">
        <f t="shared" si="38"/>
        <v>165</v>
      </c>
      <c r="Y89" s="3">
        <f t="shared" si="39"/>
        <v>1020</v>
      </c>
      <c r="Z89" s="3">
        <f t="shared" si="40"/>
        <v>3243</v>
      </c>
      <c r="AA89" s="3">
        <f t="shared" si="41"/>
        <v>357</v>
      </c>
      <c r="AB89" s="2">
        <f t="shared" si="15"/>
        <v>0.47349177330895797</v>
      </c>
      <c r="AC89" s="2">
        <f t="shared" si="16"/>
        <v>0.91234347048300535</v>
      </c>
      <c r="AD89" s="2">
        <f t="shared" si="47"/>
        <v>0.56927899686520378</v>
      </c>
      <c r="AE89" s="2">
        <f t="shared" si="18"/>
        <v>0.58452722063037255</v>
      </c>
    </row>
    <row r="90" spans="3:31" ht="20" customHeight="1">
      <c r="C90" s="3">
        <v>98</v>
      </c>
      <c r="D90" s="3">
        <f t="shared" si="19"/>
        <v>292</v>
      </c>
      <c r="E90" s="3">
        <f t="shared" si="20"/>
        <v>371</v>
      </c>
      <c r="F90" s="3">
        <f t="shared" si="21"/>
        <v>663</v>
      </c>
      <c r="G90" s="5">
        <f t="shared" si="14"/>
        <v>0.44042232277526394</v>
      </c>
      <c r="H90" s="3">
        <f t="shared" si="22"/>
        <v>1809</v>
      </c>
      <c r="I90" s="3">
        <f t="shared" si="23"/>
        <v>1701</v>
      </c>
      <c r="J90" s="3">
        <f t="shared" si="24"/>
        <v>463</v>
      </c>
      <c r="K90" s="3">
        <f t="shared" si="25"/>
        <v>804</v>
      </c>
      <c r="L90" s="3">
        <f t="shared" si="26"/>
        <v>1059</v>
      </c>
      <c r="M90" s="3">
        <f t="shared" si="27"/>
        <v>535</v>
      </c>
      <c r="N90" s="3">
        <f t="shared" si="28"/>
        <v>149</v>
      </c>
      <c r="O90" s="3">
        <f t="shared" si="29"/>
        <v>1743</v>
      </c>
      <c r="P90" s="3">
        <f t="shared" si="30"/>
        <v>672</v>
      </c>
      <c r="Q90" s="3">
        <f t="shared" si="31"/>
        <v>71</v>
      </c>
      <c r="R90" s="3">
        <f t="shared" si="32"/>
        <v>24</v>
      </c>
      <c r="S90" s="3">
        <f t="shared" si="33"/>
        <v>13</v>
      </c>
      <c r="T90" s="3">
        <f t="shared" si="34"/>
        <v>938</v>
      </c>
      <c r="U90" s="3">
        <f t="shared" si="35"/>
        <v>49</v>
      </c>
      <c r="V90" s="3">
        <f t="shared" si="36"/>
        <v>105</v>
      </c>
      <c r="W90" s="3">
        <f t="shared" si="37"/>
        <v>11</v>
      </c>
      <c r="X90" s="3">
        <f t="shared" si="38"/>
        <v>171</v>
      </c>
      <c r="Y90" s="3">
        <f t="shared" si="39"/>
        <v>1056</v>
      </c>
      <c r="Z90" s="3">
        <f t="shared" si="40"/>
        <v>3368.5</v>
      </c>
      <c r="AA90" s="3">
        <f t="shared" si="41"/>
        <v>367</v>
      </c>
      <c r="AB90" s="2">
        <f t="shared" si="15"/>
        <v>0.47266313932980597</v>
      </c>
      <c r="AC90" s="2">
        <f t="shared" si="16"/>
        <v>0.91451520367183015</v>
      </c>
      <c r="AD90" s="2">
        <f t="shared" si="47"/>
        <v>0.56676737160120849</v>
      </c>
      <c r="AE90" s="2">
        <f t="shared" si="18"/>
        <v>0.58374792703150913</v>
      </c>
    </row>
    <row r="91" spans="3:31" ht="20" customHeight="1">
      <c r="C91" s="3">
        <v>99</v>
      </c>
      <c r="D91" s="3">
        <f t="shared" si="19"/>
        <v>305</v>
      </c>
      <c r="E91" s="3">
        <f t="shared" si="20"/>
        <v>378</v>
      </c>
      <c r="F91" s="3">
        <f t="shared" si="21"/>
        <v>683</v>
      </c>
      <c r="G91" s="5">
        <f t="shared" si="14"/>
        <v>0.44655929721815518</v>
      </c>
      <c r="H91" s="3">
        <f t="shared" si="22"/>
        <v>1865</v>
      </c>
      <c r="I91" s="3">
        <f t="shared" si="23"/>
        <v>1751</v>
      </c>
      <c r="J91" s="3">
        <f t="shared" si="24"/>
        <v>476</v>
      </c>
      <c r="K91" s="3">
        <f t="shared" si="25"/>
        <v>830</v>
      </c>
      <c r="L91" s="3">
        <f t="shared" si="26"/>
        <v>1088</v>
      </c>
      <c r="M91" s="3">
        <f t="shared" si="27"/>
        <v>544</v>
      </c>
      <c r="N91" s="3">
        <f t="shared" si="28"/>
        <v>157</v>
      </c>
      <c r="O91" s="3">
        <f t="shared" si="29"/>
        <v>1789</v>
      </c>
      <c r="P91" s="3">
        <f t="shared" si="30"/>
        <v>697</v>
      </c>
      <c r="Q91" s="3">
        <f t="shared" si="31"/>
        <v>72</v>
      </c>
      <c r="R91" s="3">
        <f t="shared" si="32"/>
        <v>24</v>
      </c>
      <c r="S91" s="3">
        <f t="shared" si="33"/>
        <v>13</v>
      </c>
      <c r="T91" s="3">
        <f t="shared" si="34"/>
        <v>965</v>
      </c>
      <c r="U91" s="3">
        <f t="shared" si="35"/>
        <v>51</v>
      </c>
      <c r="V91" s="3">
        <f t="shared" si="36"/>
        <v>109</v>
      </c>
      <c r="W91" s="3">
        <f t="shared" si="37"/>
        <v>12</v>
      </c>
      <c r="X91" s="3">
        <f t="shared" si="38"/>
        <v>174</v>
      </c>
      <c r="Y91" s="3">
        <f t="shared" si="39"/>
        <v>1089</v>
      </c>
      <c r="Z91" s="3">
        <f t="shared" si="40"/>
        <v>3484</v>
      </c>
      <c r="AA91" s="3">
        <f t="shared" si="41"/>
        <v>379</v>
      </c>
      <c r="AB91" s="2">
        <f t="shared" si="15"/>
        <v>0.47401484865790977</v>
      </c>
      <c r="AC91" s="2">
        <f t="shared" si="16"/>
        <v>0.91224147568474012</v>
      </c>
      <c r="AD91" s="2">
        <f t="shared" si="47"/>
        <v>0.56598240469208216</v>
      </c>
      <c r="AE91" s="2">
        <f t="shared" si="18"/>
        <v>0.58391420911528147</v>
      </c>
    </row>
    <row r="92" spans="3:31" ht="20" customHeight="1">
      <c r="C92" s="6">
        <v>0</v>
      </c>
      <c r="D92" s="3">
        <f t="shared" si="19"/>
        <v>315</v>
      </c>
      <c r="E92" s="3">
        <f t="shared" si="20"/>
        <v>389</v>
      </c>
      <c r="F92" s="3">
        <f t="shared" si="21"/>
        <v>704</v>
      </c>
      <c r="G92" s="5">
        <f t="shared" si="14"/>
        <v>0.44744318181818182</v>
      </c>
      <c r="H92" s="3">
        <f t="shared" si="22"/>
        <v>1909</v>
      </c>
      <c r="I92" s="3">
        <f t="shared" si="23"/>
        <v>1790</v>
      </c>
      <c r="J92" s="3">
        <f t="shared" si="24"/>
        <v>487</v>
      </c>
      <c r="K92" s="3">
        <f t="shared" si="25"/>
        <v>852</v>
      </c>
      <c r="L92" s="3">
        <f t="shared" si="26"/>
        <v>1097</v>
      </c>
      <c r="M92" s="3">
        <f t="shared" si="27"/>
        <v>550</v>
      </c>
      <c r="N92" s="3">
        <f t="shared" si="28"/>
        <v>161</v>
      </c>
      <c r="O92" s="3">
        <f t="shared" si="29"/>
        <v>1808</v>
      </c>
      <c r="P92" s="3">
        <f t="shared" si="30"/>
        <v>717</v>
      </c>
      <c r="Q92" s="3">
        <f t="shared" si="31"/>
        <v>74</v>
      </c>
      <c r="R92" s="3">
        <f t="shared" si="32"/>
        <v>24</v>
      </c>
      <c r="S92" s="3">
        <f t="shared" si="33"/>
        <v>13</v>
      </c>
      <c r="T92" s="3">
        <f t="shared" si="34"/>
        <v>989</v>
      </c>
      <c r="U92" s="3">
        <f t="shared" si="35"/>
        <v>52</v>
      </c>
      <c r="V92" s="3">
        <f t="shared" si="36"/>
        <v>113</v>
      </c>
      <c r="W92" s="3">
        <f t="shared" si="37"/>
        <v>12</v>
      </c>
      <c r="X92" s="3">
        <f t="shared" si="38"/>
        <v>179</v>
      </c>
      <c r="Y92" s="3">
        <f t="shared" si="39"/>
        <v>1120</v>
      </c>
      <c r="Z92" s="3">
        <f t="shared" si="40"/>
        <v>3577.5</v>
      </c>
      <c r="AA92" s="3">
        <f t="shared" si="41"/>
        <v>386</v>
      </c>
      <c r="AB92" s="2">
        <f t="shared" si="15"/>
        <v>0.47597765363128491</v>
      </c>
      <c r="AC92" s="2">
        <f t="shared" si="16"/>
        <v>0.91095132743362828</v>
      </c>
      <c r="AD92" s="2">
        <f t="shared" si="47"/>
        <v>0.56708715596330272</v>
      </c>
      <c r="AE92" s="2">
        <f t="shared" si="18"/>
        <v>0.58669460450497646</v>
      </c>
    </row>
    <row r="93" spans="3:31" ht="20" customHeight="1">
      <c r="C93" s="6">
        <v>1</v>
      </c>
      <c r="D93" s="3">
        <f t="shared" si="19"/>
        <v>321</v>
      </c>
      <c r="E93" s="3">
        <f t="shared" si="20"/>
        <v>406</v>
      </c>
      <c r="F93" s="3">
        <f t="shared" si="21"/>
        <v>727</v>
      </c>
      <c r="G93" s="5">
        <f t="shared" si="14"/>
        <v>0.44154057771664373</v>
      </c>
      <c r="H93" s="3">
        <f t="shared" si="22"/>
        <v>1962</v>
      </c>
      <c r="I93" s="3">
        <f t="shared" si="23"/>
        <v>1834</v>
      </c>
      <c r="J93" s="3">
        <f t="shared" si="24"/>
        <v>499</v>
      </c>
      <c r="K93" s="3">
        <f t="shared" si="25"/>
        <v>874</v>
      </c>
      <c r="L93" s="3">
        <f t="shared" si="26"/>
        <v>1110</v>
      </c>
      <c r="M93" s="3">
        <f t="shared" si="27"/>
        <v>561</v>
      </c>
      <c r="N93" s="3">
        <f t="shared" si="28"/>
        <v>164</v>
      </c>
      <c r="O93" s="3">
        <f t="shared" si="29"/>
        <v>1835</v>
      </c>
      <c r="P93" s="3">
        <f t="shared" si="30"/>
        <v>738</v>
      </c>
      <c r="Q93" s="3">
        <f t="shared" si="31"/>
        <v>75</v>
      </c>
      <c r="R93" s="3">
        <f t="shared" si="32"/>
        <v>24</v>
      </c>
      <c r="S93" s="3">
        <f t="shared" si="33"/>
        <v>13</v>
      </c>
      <c r="T93" s="3">
        <f t="shared" si="34"/>
        <v>1012</v>
      </c>
      <c r="U93" s="3">
        <f t="shared" si="35"/>
        <v>54</v>
      </c>
      <c r="V93" s="3">
        <f t="shared" si="36"/>
        <v>120</v>
      </c>
      <c r="W93" s="3">
        <f t="shared" si="37"/>
        <v>13</v>
      </c>
      <c r="X93" s="3">
        <f t="shared" si="38"/>
        <v>182</v>
      </c>
      <c r="Y93" s="3">
        <f t="shared" si="39"/>
        <v>1152</v>
      </c>
      <c r="Z93" s="3">
        <f t="shared" si="40"/>
        <v>3678.5</v>
      </c>
      <c r="AA93" s="3">
        <f t="shared" si="41"/>
        <v>398</v>
      </c>
      <c r="AB93" s="2">
        <f t="shared" si="15"/>
        <v>0.47655398037077429</v>
      </c>
      <c r="AC93" s="2">
        <f t="shared" si="16"/>
        <v>0.91062670299727522</v>
      </c>
      <c r="AD93" s="2">
        <f t="shared" si="47"/>
        <v>0.56599552572706935</v>
      </c>
      <c r="AE93" s="2">
        <f t="shared" si="18"/>
        <v>0.58715596330275233</v>
      </c>
    </row>
    <row r="94" spans="3:31" ht="20" customHeight="1">
      <c r="C94" s="6">
        <v>2</v>
      </c>
      <c r="D94" s="3">
        <f t="shared" si="19"/>
        <v>337</v>
      </c>
      <c r="E94" s="3">
        <f t="shared" si="20"/>
        <v>413</v>
      </c>
      <c r="F94" s="3">
        <f t="shared" si="21"/>
        <v>750</v>
      </c>
      <c r="G94" s="5">
        <f t="shared" si="14"/>
        <v>0.44933333333333331</v>
      </c>
      <c r="H94" s="3">
        <f t="shared" si="22"/>
        <v>2018</v>
      </c>
      <c r="I94" s="3">
        <f t="shared" si="23"/>
        <v>1875</v>
      </c>
      <c r="J94" s="3">
        <f t="shared" si="24"/>
        <v>516</v>
      </c>
      <c r="K94" s="3">
        <f t="shared" si="25"/>
        <v>898</v>
      </c>
      <c r="L94" s="3">
        <f t="shared" si="26"/>
        <v>1137</v>
      </c>
      <c r="M94" s="3">
        <f t="shared" si="27"/>
        <v>575</v>
      </c>
      <c r="N94" s="3">
        <f t="shared" si="28"/>
        <v>165</v>
      </c>
      <c r="O94" s="3">
        <f t="shared" si="29"/>
        <v>1877</v>
      </c>
      <c r="P94" s="3">
        <f t="shared" si="30"/>
        <v>759</v>
      </c>
      <c r="Q94" s="3">
        <f t="shared" si="31"/>
        <v>77</v>
      </c>
      <c r="R94" s="3">
        <f t="shared" si="32"/>
        <v>25</v>
      </c>
      <c r="S94" s="3">
        <f t="shared" si="33"/>
        <v>13</v>
      </c>
      <c r="T94" s="3">
        <f t="shared" si="34"/>
        <v>1040</v>
      </c>
      <c r="U94" s="3">
        <f t="shared" si="35"/>
        <v>61</v>
      </c>
      <c r="V94" s="3">
        <f t="shared" si="36"/>
        <v>128</v>
      </c>
      <c r="W94" s="3">
        <f t="shared" si="37"/>
        <v>14</v>
      </c>
      <c r="X94" s="3">
        <f t="shared" si="38"/>
        <v>185</v>
      </c>
      <c r="Y94" s="3">
        <f t="shared" si="39"/>
        <v>1187</v>
      </c>
      <c r="Z94" s="3">
        <f t="shared" si="40"/>
        <v>3789</v>
      </c>
      <c r="AA94" s="3">
        <f t="shared" si="41"/>
        <v>416</v>
      </c>
      <c r="AB94" s="2">
        <f t="shared" si="15"/>
        <v>0.47893333333333332</v>
      </c>
      <c r="AC94" s="2">
        <f t="shared" si="16"/>
        <v>0.91209376664890784</v>
      </c>
      <c r="AD94" s="2">
        <f t="shared" si="47"/>
        <v>0.5686167304537999</v>
      </c>
      <c r="AE94" s="2">
        <f t="shared" si="18"/>
        <v>0.58820614469772048</v>
      </c>
    </row>
    <row r="95" spans="3:31" ht="20" customHeight="1">
      <c r="C95" s="6">
        <v>3</v>
      </c>
      <c r="D95" s="3">
        <f t="shared" si="19"/>
        <v>349</v>
      </c>
      <c r="E95" s="3">
        <f t="shared" si="20"/>
        <v>422</v>
      </c>
      <c r="F95" s="3">
        <f t="shared" si="21"/>
        <v>771</v>
      </c>
      <c r="G95" s="5">
        <f>D95/F95</f>
        <v>0.45265888456549935</v>
      </c>
      <c r="H95" s="3">
        <f t="shared" si="22"/>
        <v>2059</v>
      </c>
      <c r="I95" s="3">
        <f t="shared" si="23"/>
        <v>1912</v>
      </c>
      <c r="J95" s="3">
        <f t="shared" si="24"/>
        <v>524</v>
      </c>
      <c r="K95" s="3">
        <f t="shared" si="25"/>
        <v>913</v>
      </c>
      <c r="L95" s="3">
        <f t="shared" si="26"/>
        <v>1174</v>
      </c>
      <c r="M95" s="3">
        <f t="shared" si="27"/>
        <v>579</v>
      </c>
      <c r="N95" s="3">
        <f t="shared" si="28"/>
        <v>166</v>
      </c>
      <c r="O95" s="3">
        <f t="shared" si="29"/>
        <v>1919</v>
      </c>
      <c r="P95" s="3">
        <f t="shared" si="30"/>
        <v>773</v>
      </c>
      <c r="Q95" s="3">
        <f t="shared" si="31"/>
        <v>78</v>
      </c>
      <c r="R95" s="3">
        <f t="shared" si="32"/>
        <v>25</v>
      </c>
      <c r="S95" s="3">
        <f t="shared" si="33"/>
        <v>13</v>
      </c>
      <c r="T95" s="3">
        <f t="shared" si="34"/>
        <v>1056</v>
      </c>
      <c r="U95" s="3">
        <f t="shared" si="35"/>
        <v>61</v>
      </c>
      <c r="V95" s="3">
        <f t="shared" si="36"/>
        <v>132</v>
      </c>
      <c r="W95" s="3">
        <f t="shared" si="37"/>
        <v>14</v>
      </c>
      <c r="X95" s="3">
        <f t="shared" si="38"/>
        <v>188</v>
      </c>
      <c r="Y95" s="3">
        <f t="shared" si="39"/>
        <v>1209</v>
      </c>
      <c r="Z95" s="3">
        <f t="shared" si="40"/>
        <v>3875.5</v>
      </c>
      <c r="AA95" s="3">
        <f t="shared" si="41"/>
        <v>429</v>
      </c>
      <c r="AB95" s="2">
        <f>K95/I95</f>
        <v>0.47751046025104604</v>
      </c>
      <c r="AC95" s="2">
        <f>(L95+M95)/O95</f>
        <v>0.9134966128191766</v>
      </c>
      <c r="AD95" s="2">
        <f t="shared" si="47"/>
        <v>0.56591639871382637</v>
      </c>
      <c r="AE95" s="2">
        <f>Y95/H95</f>
        <v>0.58717824186498302</v>
      </c>
    </row>
    <row r="96" spans="3:31" ht="20" customHeight="1">
      <c r="C96" s="6">
        <v>4</v>
      </c>
      <c r="D96" s="3">
        <f t="shared" si="19"/>
        <v>360</v>
      </c>
      <c r="E96" s="3">
        <f t="shared" si="20"/>
        <v>432</v>
      </c>
      <c r="F96" s="3">
        <f t="shared" si="21"/>
        <v>792</v>
      </c>
      <c r="G96" s="5">
        <f>D96/F96</f>
        <v>0.45454545454545453</v>
      </c>
      <c r="H96" s="3">
        <f t="shared" si="22"/>
        <v>2110</v>
      </c>
      <c r="I96" s="3">
        <f t="shared" si="23"/>
        <v>1957</v>
      </c>
      <c r="J96" s="3">
        <f t="shared" si="24"/>
        <v>533</v>
      </c>
      <c r="K96" s="3">
        <f t="shared" si="25"/>
        <v>933</v>
      </c>
      <c r="L96" s="3">
        <f t="shared" si="26"/>
        <v>1199</v>
      </c>
      <c r="M96" s="3">
        <f t="shared" si="27"/>
        <v>597</v>
      </c>
      <c r="N96" s="3">
        <f t="shared" si="28"/>
        <v>176</v>
      </c>
      <c r="O96" s="3">
        <f t="shared" si="29"/>
        <v>1972</v>
      </c>
      <c r="P96" s="3">
        <f t="shared" si="30"/>
        <v>793</v>
      </c>
      <c r="Q96" s="3">
        <f t="shared" si="31"/>
        <v>78</v>
      </c>
      <c r="R96" s="3">
        <f t="shared" si="32"/>
        <v>25</v>
      </c>
      <c r="S96" s="3">
        <f t="shared" si="33"/>
        <v>13</v>
      </c>
      <c r="T96" s="3">
        <f t="shared" si="34"/>
        <v>1076</v>
      </c>
      <c r="U96" s="3">
        <f t="shared" si="35"/>
        <v>61</v>
      </c>
      <c r="V96" s="3">
        <f t="shared" si="36"/>
        <v>138</v>
      </c>
      <c r="W96" s="3">
        <f t="shared" si="37"/>
        <v>14</v>
      </c>
      <c r="X96" s="3">
        <f t="shared" si="38"/>
        <v>195</v>
      </c>
      <c r="Y96" s="3">
        <f t="shared" si="39"/>
        <v>1242</v>
      </c>
      <c r="Z96" s="3">
        <f t="shared" si="40"/>
        <v>3979.5</v>
      </c>
      <c r="AA96" s="3">
        <f t="shared" si="41"/>
        <v>434</v>
      </c>
      <c r="AB96" s="2">
        <f>K96/I96</f>
        <v>0.47675012774655084</v>
      </c>
      <c r="AC96" s="2">
        <f>(L96+M96)/O96</f>
        <v>0.91075050709939143</v>
      </c>
      <c r="AD96" s="2">
        <f t="shared" si="47"/>
        <v>0.56305599162742015</v>
      </c>
      <c r="AE96" s="2">
        <f>Y96/H96</f>
        <v>0.58862559241706158</v>
      </c>
    </row>
    <row r="97" spans="2:31" ht="20" customHeight="1">
      <c r="C97" s="6">
        <v>5</v>
      </c>
      <c r="D97" s="3">
        <f t="shared" si="19"/>
        <v>375</v>
      </c>
      <c r="E97" s="3">
        <f t="shared" si="20"/>
        <v>439</v>
      </c>
      <c r="F97" s="3">
        <f t="shared" si="21"/>
        <v>814</v>
      </c>
      <c r="G97" s="5">
        <f>D97/F97</f>
        <v>0.4606879606879607</v>
      </c>
      <c r="H97" s="3">
        <f t="shared" si="22"/>
        <v>2178</v>
      </c>
      <c r="I97" s="3">
        <f t="shared" si="23"/>
        <v>2010</v>
      </c>
      <c r="J97" s="3">
        <f t="shared" si="24"/>
        <v>546</v>
      </c>
      <c r="K97" s="3">
        <f t="shared" si="25"/>
        <v>953</v>
      </c>
      <c r="L97" s="3">
        <f t="shared" si="26"/>
        <v>1222</v>
      </c>
      <c r="M97" s="3">
        <f t="shared" si="27"/>
        <v>613</v>
      </c>
      <c r="N97" s="3">
        <f t="shared" si="28"/>
        <v>178</v>
      </c>
      <c r="O97" s="3">
        <f t="shared" si="29"/>
        <v>2013</v>
      </c>
      <c r="P97" s="3">
        <f t="shared" si="30"/>
        <v>813</v>
      </c>
      <c r="Q97" s="3">
        <f t="shared" si="31"/>
        <v>78</v>
      </c>
      <c r="R97" s="3">
        <f t="shared" si="32"/>
        <v>25</v>
      </c>
      <c r="S97" s="3">
        <f t="shared" si="33"/>
        <v>13</v>
      </c>
      <c r="T97" s="3">
        <f t="shared" si="34"/>
        <v>1096</v>
      </c>
      <c r="U97" s="3">
        <f t="shared" si="35"/>
        <v>63</v>
      </c>
      <c r="V97" s="3">
        <f t="shared" si="36"/>
        <v>151</v>
      </c>
      <c r="W97" s="3">
        <f t="shared" si="37"/>
        <v>14</v>
      </c>
      <c r="X97" s="3">
        <f t="shared" si="38"/>
        <v>199</v>
      </c>
      <c r="Y97" s="3">
        <f t="shared" si="39"/>
        <v>1279</v>
      </c>
      <c r="Z97" s="3">
        <f t="shared" si="40"/>
        <v>4123.5</v>
      </c>
      <c r="AA97" s="3">
        <f t="shared" si="41"/>
        <v>443</v>
      </c>
      <c r="AB97" s="2">
        <f>K97/I97</f>
        <v>0.47412935323383082</v>
      </c>
      <c r="AC97" s="2">
        <f>(L97+M97)/O97</f>
        <v>0.91157476403378046</v>
      </c>
      <c r="AD97" s="2">
        <f t="shared" si="47"/>
        <v>0.55804480651731159</v>
      </c>
      <c r="AE97" s="2">
        <f>Y97/H97</f>
        <v>0.58723599632690537</v>
      </c>
    </row>
    <row r="98" spans="2:31" ht="20" customHeight="1">
      <c r="C98" s="6">
        <v>6</v>
      </c>
      <c r="D98" s="3">
        <f t="shared" si="19"/>
        <v>389</v>
      </c>
      <c r="E98" s="3">
        <f t="shared" si="20"/>
        <v>447</v>
      </c>
      <c r="F98" s="3">
        <f t="shared" si="21"/>
        <v>836</v>
      </c>
      <c r="G98" s="5">
        <f>D98/F98</f>
        <v>0.46531100478468901</v>
      </c>
      <c r="H98" s="3">
        <f t="shared" si="22"/>
        <v>2245</v>
      </c>
      <c r="I98" s="3">
        <f t="shared" si="23"/>
        <v>2062</v>
      </c>
      <c r="J98" s="3">
        <f t="shared" si="24"/>
        <v>561</v>
      </c>
      <c r="K98" s="3">
        <f t="shared" si="25"/>
        <v>979</v>
      </c>
      <c r="L98" s="3">
        <f t="shared" si="26"/>
        <v>1240</v>
      </c>
      <c r="M98" s="3">
        <f t="shared" si="27"/>
        <v>631</v>
      </c>
      <c r="N98" s="3">
        <f t="shared" si="28"/>
        <v>183</v>
      </c>
      <c r="O98" s="3">
        <f t="shared" si="29"/>
        <v>2054</v>
      </c>
      <c r="P98" s="3">
        <f t="shared" si="30"/>
        <v>838</v>
      </c>
      <c r="Q98" s="3">
        <f t="shared" si="31"/>
        <v>79</v>
      </c>
      <c r="R98" s="3">
        <f t="shared" si="32"/>
        <v>25</v>
      </c>
      <c r="S98" s="3">
        <f t="shared" si="33"/>
        <v>13</v>
      </c>
      <c r="T98" s="3">
        <f t="shared" si="34"/>
        <v>1123</v>
      </c>
      <c r="U98" s="3">
        <f t="shared" si="35"/>
        <v>66</v>
      </c>
      <c r="V98" s="3">
        <f t="shared" si="36"/>
        <v>163</v>
      </c>
      <c r="W98" s="3">
        <f t="shared" si="37"/>
        <v>16</v>
      </c>
      <c r="X98" s="3">
        <f t="shared" si="38"/>
        <v>203</v>
      </c>
      <c r="Y98" s="3">
        <f t="shared" si="39"/>
        <v>1321</v>
      </c>
      <c r="Z98" s="3">
        <f t="shared" si="40"/>
        <v>4237.5</v>
      </c>
      <c r="AA98" s="3">
        <f t="shared" si="41"/>
        <v>462</v>
      </c>
      <c r="AB98" s="2">
        <f>K98/I98</f>
        <v>0.47478176527643062</v>
      </c>
      <c r="AC98" s="2">
        <f>(L98+M98)/O98</f>
        <v>0.91090555014605645</v>
      </c>
      <c r="AD98" s="2">
        <f t="shared" si="47"/>
        <v>0.55704365079365081</v>
      </c>
      <c r="AE98" s="2">
        <f>Y98/H98</f>
        <v>0.58841870824053455</v>
      </c>
    </row>
    <row r="99" spans="2:31" ht="20" customHeight="1">
      <c r="C99" s="6">
        <v>7</v>
      </c>
      <c r="D99" s="3">
        <f t="shared" si="19"/>
        <v>394</v>
      </c>
      <c r="E99" s="3">
        <f t="shared" si="20"/>
        <v>461</v>
      </c>
      <c r="F99" s="3">
        <f t="shared" si="21"/>
        <v>855</v>
      </c>
      <c r="G99" s="5">
        <f>D99/F99</f>
        <v>0.46081871345029241</v>
      </c>
      <c r="H99" s="3">
        <f t="shared" si="22"/>
        <v>2293</v>
      </c>
      <c r="I99" s="3">
        <f t="shared" si="23"/>
        <v>2102</v>
      </c>
      <c r="J99" s="3">
        <f t="shared" si="24"/>
        <v>574</v>
      </c>
      <c r="K99" s="3">
        <f t="shared" si="25"/>
        <v>1002</v>
      </c>
      <c r="L99" s="3">
        <f t="shared" si="26"/>
        <v>1257</v>
      </c>
      <c r="M99" s="3">
        <f t="shared" si="27"/>
        <v>646</v>
      </c>
      <c r="N99" s="3">
        <f t="shared" si="28"/>
        <v>192</v>
      </c>
      <c r="O99" s="3">
        <f t="shared" si="29"/>
        <v>2095</v>
      </c>
      <c r="P99" s="3">
        <f t="shared" si="30"/>
        <v>859</v>
      </c>
      <c r="Q99" s="3">
        <f t="shared" si="31"/>
        <v>81</v>
      </c>
      <c r="R99" s="3">
        <f t="shared" si="32"/>
        <v>25</v>
      </c>
      <c r="S99" s="3">
        <f t="shared" si="33"/>
        <v>13</v>
      </c>
      <c r="T99" s="3">
        <f t="shared" si="34"/>
        <v>1148</v>
      </c>
      <c r="U99" s="3">
        <f t="shared" si="35"/>
        <v>66</v>
      </c>
      <c r="V99" s="3">
        <f t="shared" si="36"/>
        <v>171</v>
      </c>
      <c r="W99" s="3">
        <f t="shared" si="37"/>
        <v>16</v>
      </c>
      <c r="X99" s="3">
        <f t="shared" si="38"/>
        <v>206</v>
      </c>
      <c r="Y99" s="3">
        <f t="shared" si="39"/>
        <v>1355</v>
      </c>
      <c r="Z99" s="3">
        <f t="shared" si="40"/>
        <v>4321.5</v>
      </c>
      <c r="AA99" s="3">
        <f t="shared" si="41"/>
        <v>476</v>
      </c>
      <c r="AB99" s="2">
        <f>K99/I99</f>
        <v>0.47668886774500474</v>
      </c>
      <c r="AC99" s="2">
        <f>(L99+M99)/O99</f>
        <v>0.9083532219570406</v>
      </c>
      <c r="AD99" s="2">
        <f t="shared" si="47"/>
        <v>0.55836575875486383</v>
      </c>
      <c r="AE99" s="2">
        <f>Y99/H99</f>
        <v>0.59092891408634973</v>
      </c>
    </row>
    <row r="100" spans="2:31" ht="20" customHeight="1">
      <c r="C100" s="6"/>
      <c r="D100" s="3"/>
      <c r="E100" s="3"/>
      <c r="F100" s="3"/>
      <c r="G100" s="5"/>
      <c r="H100" s="3"/>
      <c r="Z100" s="3"/>
    </row>
    <row r="101" spans="2:31" ht="20" customHeight="1">
      <c r="C101" s="6"/>
      <c r="D101" s="3"/>
      <c r="E101" s="3"/>
      <c r="F101" s="3"/>
      <c r="G101" s="5"/>
      <c r="H101" s="3"/>
      <c r="Z101" s="3"/>
    </row>
    <row r="102" spans="2:31" ht="20" customHeight="1">
      <c r="B102" s="1" t="s">
        <v>36</v>
      </c>
    </row>
    <row r="103" spans="2:31" ht="20" customHeight="1">
      <c r="B103" s="1" t="s">
        <v>37</v>
      </c>
    </row>
    <row r="104" spans="2:31" ht="20" customHeight="1">
      <c r="B104" s="1" t="s">
        <v>38</v>
      </c>
    </row>
    <row r="105" spans="2:31" ht="20" customHeight="1">
      <c r="B105" s="1" t="s">
        <v>39</v>
      </c>
    </row>
    <row r="106" spans="2:31" ht="20" customHeight="1">
      <c r="B106" s="2" t="s">
        <v>40</v>
      </c>
    </row>
    <row r="107" spans="2:31" ht="20" customHeight="1">
      <c r="B107" s="2" t="s">
        <v>41</v>
      </c>
    </row>
    <row r="108" spans="2:31" ht="20" customHeight="1">
      <c r="B108" s="2" t="s">
        <v>42</v>
      </c>
    </row>
    <row r="109" spans="2:31" ht="20" customHeight="1">
      <c r="B109" s="2" t="s">
        <v>43</v>
      </c>
    </row>
    <row r="110" spans="2:31" ht="20" customHeight="1">
      <c r="B110" s="7" t="s">
        <v>44</v>
      </c>
    </row>
    <row r="111" spans="2:31" ht="20" customHeight="1">
      <c r="B111" s="7" t="s">
        <v>45</v>
      </c>
    </row>
    <row r="112" spans="2:31" ht="20" customHeight="1">
      <c r="B112" s="7" t="s">
        <v>46</v>
      </c>
    </row>
    <row r="113" spans="2:2" ht="20" customHeight="1">
      <c r="B113" s="7" t="s">
        <v>47</v>
      </c>
    </row>
    <row r="114" spans="2:2" ht="20" customHeight="1">
      <c r="B114" s="7" t="s">
        <v>48</v>
      </c>
    </row>
    <row r="115" spans="2:2" ht="20" customHeight="1">
      <c r="B115" s="7" t="s">
        <v>49</v>
      </c>
    </row>
    <row r="116" spans="2:2" ht="20" customHeight="1">
      <c r="B116" s="7" t="s">
        <v>50</v>
      </c>
    </row>
    <row r="117" spans="2:2" ht="20" customHeight="1">
      <c r="B117" s="7" t="s">
        <v>51</v>
      </c>
    </row>
    <row r="118" spans="2:2" ht="20" customHeight="1">
      <c r="B118" s="7" t="s">
        <v>52</v>
      </c>
    </row>
    <row r="119" spans="2:2" ht="20" customHeight="1">
      <c r="B119" s="7" t="s">
        <v>53</v>
      </c>
    </row>
    <row r="120" spans="2:2" ht="20" customHeight="1">
      <c r="B120" s="7" t="s">
        <v>54</v>
      </c>
    </row>
    <row r="121" spans="2:2" ht="20" customHeight="1">
      <c r="B121" s="7" t="s">
        <v>55</v>
      </c>
    </row>
    <row r="122" spans="2:2" ht="20" customHeight="1">
      <c r="B122" s="7" t="s">
        <v>56</v>
      </c>
    </row>
    <row r="123" spans="2:2" ht="20" customHeight="1">
      <c r="B123" s="7" t="s">
        <v>57</v>
      </c>
    </row>
    <row r="124" spans="2:2" ht="20" customHeight="1">
      <c r="B124" s="7" t="s">
        <v>58</v>
      </c>
    </row>
    <row r="125" spans="2:2" ht="20" customHeight="1">
      <c r="B125" s="8" t="s">
        <v>59</v>
      </c>
    </row>
    <row r="126" spans="2:2" ht="20" customHeight="1">
      <c r="B126" s="8" t="s">
        <v>60</v>
      </c>
    </row>
    <row r="127" spans="2:2" ht="20" customHeight="1">
      <c r="B127" s="8" t="s">
        <v>61</v>
      </c>
    </row>
    <row r="128" spans="2:2" ht="20" customHeight="1">
      <c r="B128" s="8" t="s">
        <v>62</v>
      </c>
    </row>
    <row r="129" spans="2:2" ht="20" customHeight="1">
      <c r="B129" s="8" t="s">
        <v>63</v>
      </c>
    </row>
    <row r="131" spans="2:2" ht="20" customHeight="1">
      <c r="B131" s="3" t="s">
        <v>1</v>
      </c>
    </row>
    <row r="132" spans="2:2" ht="20" customHeight="1">
      <c r="B132" s="9">
        <f ca="1">TODAY()</f>
        <v>43728</v>
      </c>
    </row>
  </sheetData>
  <phoneticPr fontId="1"/>
  <pageMargins left="0.75" right="0.75" top="0" bottom="0" header="0.5" footer="0.5"/>
  <pageSetup paperSize="0" scale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Zwilling, Michael</cp:lastModifiedBy>
  <dcterms:created xsi:type="dcterms:W3CDTF">2003-10-19T03:26:19Z</dcterms:created>
  <dcterms:modified xsi:type="dcterms:W3CDTF">2023-09-21T20:05:38Z</dcterms:modified>
</cp:coreProperties>
</file>