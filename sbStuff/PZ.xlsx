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michaelzwilling/Desktop/ZwillingWeb/sbStuff/"/>
    </mc:Choice>
  </mc:AlternateContent>
  <xr:revisionPtr revIDLastSave="0" documentId="8_{063FA950-7174-AD48-A541-B955E466A2A3}" xr6:coauthVersionLast="47" xr6:coauthVersionMax="47" xr10:uidLastSave="{00000000-0000-0000-0000-000000000000}"/>
  <bookViews>
    <workbookView xWindow="0" yWindow="500" windowWidth="37320" windowHeight="21100" tabRatio="500"/>
  </bookViews>
  <sheets>
    <sheet name="PZ.x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G5" i="1" s="1"/>
  <c r="H5" i="1"/>
  <c r="O5" i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T5" i="1"/>
  <c r="T44" i="1" s="1"/>
  <c r="Y5" i="1"/>
  <c r="Y44" i="1" s="1"/>
  <c r="AB5" i="1"/>
  <c r="AC5" i="1"/>
  <c r="AC44" i="1" s="1"/>
  <c r="AD5" i="1"/>
  <c r="AD44" i="1" s="1"/>
  <c r="AE5" i="1"/>
  <c r="AE44" i="1" s="1"/>
  <c r="D44" i="1"/>
  <c r="E44" i="1"/>
  <c r="F44" i="1"/>
  <c r="F45" i="1" s="1"/>
  <c r="F46" i="1" s="1"/>
  <c r="F47" i="1" s="1"/>
  <c r="G44" i="1"/>
  <c r="H44" i="1"/>
  <c r="I44" i="1"/>
  <c r="J44" i="1"/>
  <c r="K44" i="1"/>
  <c r="L44" i="1"/>
  <c r="L45" i="1" s="1"/>
  <c r="M44" i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N44" i="1"/>
  <c r="P44" i="1"/>
  <c r="P45" i="1" s="1"/>
  <c r="Q44" i="1"/>
  <c r="Q45" i="1" s="1"/>
  <c r="R44" i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S44" i="1"/>
  <c r="U44" i="1"/>
  <c r="V44" i="1"/>
  <c r="V45" i="1" s="1"/>
  <c r="W44" i="1"/>
  <c r="W45" i="1" s="1"/>
  <c r="W46" i="1" s="1"/>
  <c r="W47" i="1" s="1"/>
  <c r="W48" i="1" s="1"/>
  <c r="W49" i="1" s="1"/>
  <c r="W50" i="1" s="1"/>
  <c r="W51" i="1" s="1"/>
  <c r="W52" i="1" s="1"/>
  <c r="W53" i="1" s="1"/>
  <c r="X44" i="1"/>
  <c r="Z44" i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AA44" i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B44" i="1"/>
  <c r="F6" i="1"/>
  <c r="G6" i="1"/>
  <c r="H6" i="1"/>
  <c r="O6" i="1"/>
  <c r="T6" i="1"/>
  <c r="Y6" i="1"/>
  <c r="AB6" i="1"/>
  <c r="AC6" i="1"/>
  <c r="D45" i="1"/>
  <c r="E45" i="1"/>
  <c r="H45" i="1"/>
  <c r="I45" i="1"/>
  <c r="I46" i="1" s="1"/>
  <c r="J45" i="1"/>
  <c r="J46" i="1" s="1"/>
  <c r="J47" i="1" s="1"/>
  <c r="J48" i="1" s="1"/>
  <c r="J49" i="1" s="1"/>
  <c r="K45" i="1"/>
  <c r="K46" i="1" s="1"/>
  <c r="N45" i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S45" i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U45" i="1"/>
  <c r="X45" i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F7" i="1"/>
  <c r="G7" i="1"/>
  <c r="H7" i="1"/>
  <c r="O7" i="1"/>
  <c r="T7" i="1"/>
  <c r="Y7" i="1"/>
  <c r="AB7" i="1"/>
  <c r="AC7" i="1"/>
  <c r="AD7" i="1"/>
  <c r="AE7" i="1"/>
  <c r="E46" i="1"/>
  <c r="E47" i="1" s="1"/>
  <c r="P46" i="1"/>
  <c r="P47" i="1" s="1"/>
  <c r="Q46" i="1"/>
  <c r="U46" i="1"/>
  <c r="U47" i="1" s="1"/>
  <c r="V46" i="1"/>
  <c r="F8" i="1"/>
  <c r="G8" i="1"/>
  <c r="H8" i="1"/>
  <c r="O8" i="1"/>
  <c r="AC8" i="1" s="1"/>
  <c r="T8" i="1"/>
  <c r="Y8" i="1"/>
  <c r="AB8" i="1"/>
  <c r="AD8" i="1"/>
  <c r="AE8" i="1"/>
  <c r="I47" i="1"/>
  <c r="Q47" i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V47" i="1"/>
  <c r="V48" i="1" s="1"/>
  <c r="F9" i="1"/>
  <c r="G9" i="1" s="1"/>
  <c r="H9" i="1"/>
  <c r="O9" i="1"/>
  <c r="T9" i="1"/>
  <c r="AD9" i="1" s="1"/>
  <c r="Y9" i="1"/>
  <c r="AB9" i="1"/>
  <c r="E48" i="1"/>
  <c r="E49" i="1" s="1"/>
  <c r="E50" i="1" s="1"/>
  <c r="E51" i="1" s="1"/>
  <c r="E52" i="1" s="1"/>
  <c r="E53" i="1" s="1"/>
  <c r="E54" i="1" s="1"/>
  <c r="E55" i="1" s="1"/>
  <c r="E56" i="1" s="1"/>
  <c r="F48" i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I48" i="1"/>
  <c r="P48" i="1"/>
  <c r="P49" i="1" s="1"/>
  <c r="P50" i="1" s="1"/>
  <c r="P51" i="1" s="1"/>
  <c r="U48" i="1"/>
  <c r="F10" i="1"/>
  <c r="G10" i="1" s="1"/>
  <c r="H10" i="1"/>
  <c r="O10" i="1"/>
  <c r="AC10" i="1" s="1"/>
  <c r="T10" i="1"/>
  <c r="AD10" i="1" s="1"/>
  <c r="Y10" i="1"/>
  <c r="AB10" i="1"/>
  <c r="I49" i="1"/>
  <c r="U49" i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V49" i="1"/>
  <c r="F11" i="1"/>
  <c r="G11" i="1"/>
  <c r="H11" i="1"/>
  <c r="O11" i="1"/>
  <c r="T11" i="1"/>
  <c r="AD11" i="1" s="1"/>
  <c r="Y11" i="1"/>
  <c r="AE11" i="1" s="1"/>
  <c r="AB11" i="1"/>
  <c r="I50" i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J50" i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V50" i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F12" i="1"/>
  <c r="G12" i="1" s="1"/>
  <c r="H12" i="1"/>
  <c r="O12" i="1"/>
  <c r="T12" i="1"/>
  <c r="AD12" i="1" s="1"/>
  <c r="Y12" i="1"/>
  <c r="AB12" i="1"/>
  <c r="AE12" i="1"/>
  <c r="F13" i="1"/>
  <c r="G13" i="1"/>
  <c r="H13" i="1"/>
  <c r="O13" i="1"/>
  <c r="T13" i="1"/>
  <c r="AD13" i="1" s="1"/>
  <c r="Y13" i="1"/>
  <c r="AE13" i="1" s="1"/>
  <c r="AB13" i="1"/>
  <c r="AC13" i="1"/>
  <c r="P52" i="1"/>
  <c r="P53" i="1" s="1"/>
  <c r="P54" i="1" s="1"/>
  <c r="P55" i="1" s="1"/>
  <c r="F14" i="1"/>
  <c r="G14" i="1" s="1"/>
  <c r="H14" i="1"/>
  <c r="O14" i="1"/>
  <c r="AC14" i="1" s="1"/>
  <c r="T14" i="1"/>
  <c r="Y14" i="1"/>
  <c r="AB14" i="1"/>
  <c r="AD14" i="1"/>
  <c r="AE14" i="1"/>
  <c r="F15" i="1"/>
  <c r="G15" i="1" s="1"/>
  <c r="H15" i="1"/>
  <c r="T15" i="1"/>
  <c r="Y15" i="1"/>
  <c r="AE15" i="1" s="1"/>
  <c r="AB15" i="1"/>
  <c r="AD15" i="1"/>
  <c r="W54" i="1"/>
  <c r="F16" i="1"/>
  <c r="G16" i="1"/>
  <c r="H16" i="1"/>
  <c r="O16" i="1"/>
  <c r="AC16" i="1" s="1"/>
  <c r="T16" i="1"/>
  <c r="AD16" i="1" s="1"/>
  <c r="Y16" i="1"/>
  <c r="AE16" i="1" s="1"/>
  <c r="AB16" i="1"/>
  <c r="W55" i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F17" i="1"/>
  <c r="G17" i="1" s="1"/>
  <c r="H17" i="1"/>
  <c r="T17" i="1"/>
  <c r="Y17" i="1"/>
  <c r="AB17" i="1"/>
  <c r="AD17" i="1"/>
  <c r="AE17" i="1"/>
  <c r="P56" i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F18" i="1"/>
  <c r="G18" i="1" s="1"/>
  <c r="H18" i="1"/>
  <c r="T18" i="1"/>
  <c r="Y18" i="1"/>
  <c r="AB18" i="1"/>
  <c r="AD18" i="1"/>
  <c r="AE18" i="1"/>
  <c r="E57" i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F19" i="1"/>
  <c r="G19" i="1" s="1"/>
  <c r="H19" i="1"/>
  <c r="T19" i="1"/>
  <c r="AD19" i="1" s="1"/>
  <c r="Y19" i="1"/>
  <c r="AE19" i="1" s="1"/>
  <c r="AB19" i="1"/>
  <c r="F20" i="1"/>
  <c r="G20" i="1" s="1"/>
  <c r="H20" i="1"/>
  <c r="T20" i="1"/>
  <c r="AD20" i="1" s="1"/>
  <c r="Y20" i="1"/>
  <c r="AE20" i="1" s="1"/>
  <c r="AB20" i="1"/>
  <c r="F21" i="1"/>
  <c r="G21" i="1"/>
  <c r="H21" i="1"/>
  <c r="T21" i="1"/>
  <c r="Y21" i="1"/>
  <c r="AB21" i="1"/>
  <c r="AD21" i="1"/>
  <c r="AE21" i="1"/>
  <c r="F22" i="1"/>
  <c r="G22" i="1" s="1"/>
  <c r="H22" i="1"/>
  <c r="AE22" i="1" s="1"/>
  <c r="T22" i="1"/>
  <c r="AD22" i="1" s="1"/>
  <c r="Y22" i="1"/>
  <c r="AB22" i="1"/>
  <c r="F23" i="1"/>
  <c r="G23" i="1" s="1"/>
  <c r="H23" i="1"/>
  <c r="T23" i="1"/>
  <c r="Y23" i="1"/>
  <c r="AE23" i="1" s="1"/>
  <c r="AB23" i="1"/>
  <c r="AD23" i="1"/>
  <c r="F24" i="1"/>
  <c r="G24" i="1"/>
  <c r="H24" i="1"/>
  <c r="T24" i="1"/>
  <c r="AD24" i="1" s="1"/>
  <c r="Y24" i="1"/>
  <c r="AE24" i="1" s="1"/>
  <c r="AB24" i="1"/>
  <c r="F25" i="1"/>
  <c r="G25" i="1" s="1"/>
  <c r="H25" i="1"/>
  <c r="T25" i="1"/>
  <c r="AD25" i="1" s="1"/>
  <c r="Y25" i="1"/>
  <c r="AE25" i="1" s="1"/>
  <c r="AB25" i="1"/>
  <c r="F26" i="1"/>
  <c r="G26" i="1"/>
  <c r="H26" i="1"/>
  <c r="AE26" i="1" s="1"/>
  <c r="T26" i="1"/>
  <c r="AD26" i="1" s="1"/>
  <c r="Y26" i="1"/>
  <c r="AB26" i="1"/>
  <c r="H27" i="1"/>
  <c r="T27" i="1"/>
  <c r="AD27" i="1" s="1"/>
  <c r="Y27" i="1"/>
  <c r="AE27" i="1" s="1"/>
  <c r="AB27" i="1"/>
  <c r="F28" i="1"/>
  <c r="G28" i="1"/>
  <c r="H28" i="1"/>
  <c r="AE28" i="1" s="1"/>
  <c r="T28" i="1"/>
  <c r="Y28" i="1"/>
  <c r="AB28" i="1"/>
  <c r="AD28" i="1"/>
  <c r="F29" i="1"/>
  <c r="G29" i="1" s="1"/>
  <c r="H29" i="1"/>
  <c r="T29" i="1"/>
  <c r="AD29" i="1" s="1"/>
  <c r="Y29" i="1"/>
  <c r="AB29" i="1"/>
  <c r="AE29" i="1"/>
  <c r="F30" i="1"/>
  <c r="G30" i="1" s="1"/>
  <c r="H30" i="1"/>
  <c r="T30" i="1"/>
  <c r="Y30" i="1"/>
  <c r="AE30" i="1" s="1"/>
  <c r="AB30" i="1"/>
  <c r="AD30" i="1"/>
  <c r="F31" i="1"/>
  <c r="G31" i="1"/>
  <c r="H31" i="1"/>
  <c r="T31" i="1"/>
  <c r="AD31" i="1" s="1"/>
  <c r="Y31" i="1"/>
  <c r="AB31" i="1"/>
  <c r="F32" i="1"/>
  <c r="G32" i="1" s="1"/>
  <c r="H32" i="1"/>
  <c r="AE32" i="1" s="1"/>
  <c r="T32" i="1"/>
  <c r="Y32" i="1"/>
  <c r="AB32" i="1"/>
  <c r="AD32" i="1"/>
  <c r="F33" i="1"/>
  <c r="G33" i="1"/>
  <c r="H33" i="1"/>
  <c r="T33" i="1"/>
  <c r="Y33" i="1"/>
  <c r="AE33" i="1" s="1"/>
  <c r="AB33" i="1"/>
  <c r="AD33" i="1"/>
  <c r="F34" i="1"/>
  <c r="G34" i="1" s="1"/>
  <c r="H34" i="1"/>
  <c r="T34" i="1"/>
  <c r="Y34" i="1"/>
  <c r="AE34" i="1" s="1"/>
  <c r="AB34" i="1"/>
  <c r="AD34" i="1"/>
  <c r="F35" i="1"/>
  <c r="G35" i="1" s="1"/>
  <c r="H35" i="1"/>
  <c r="T35" i="1"/>
  <c r="AD35" i="1" s="1"/>
  <c r="Y35" i="1"/>
  <c r="AE35" i="1" s="1"/>
  <c r="AB35" i="1"/>
  <c r="F36" i="1"/>
  <c r="G36" i="1"/>
  <c r="H36" i="1"/>
  <c r="T36" i="1"/>
  <c r="AD36" i="1" s="1"/>
  <c r="Y36" i="1"/>
  <c r="AB36" i="1"/>
  <c r="D38" i="1"/>
  <c r="E38" i="1"/>
  <c r="I38" i="1"/>
  <c r="J38" i="1"/>
  <c r="K38" i="1"/>
  <c r="AB38" i="1" s="1"/>
  <c r="L38" i="1"/>
  <c r="M38" i="1"/>
  <c r="N38" i="1"/>
  <c r="P38" i="1"/>
  <c r="Q38" i="1"/>
  <c r="R38" i="1"/>
  <c r="S38" i="1"/>
  <c r="U38" i="1"/>
  <c r="V38" i="1"/>
  <c r="W38" i="1"/>
  <c r="X38" i="1"/>
  <c r="Z38" i="1"/>
  <c r="AA38" i="1"/>
  <c r="C82" i="1"/>
  <c r="AC45" i="1" l="1"/>
  <c r="AE6" i="1"/>
  <c r="Y38" i="1"/>
  <c r="AE38" i="1" s="1"/>
  <c r="AD6" i="1"/>
  <c r="T45" i="1"/>
  <c r="H38" i="1"/>
  <c r="T38" i="1"/>
  <c r="AD38" i="1" s="1"/>
  <c r="AE36" i="1"/>
  <c r="L46" i="1"/>
  <c r="AB46" i="1"/>
  <c r="K47" i="1"/>
  <c r="F38" i="1"/>
  <c r="AC38" i="1"/>
  <c r="AE31" i="1"/>
  <c r="AB45" i="1"/>
  <c r="O38" i="1"/>
  <c r="G38" i="1"/>
  <c r="AE10" i="1"/>
  <c r="Y45" i="1"/>
  <c r="AC9" i="1"/>
  <c r="AE9" i="1"/>
  <c r="H46" i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G45" i="1"/>
  <c r="D46" i="1"/>
  <c r="AE45" i="1" l="1"/>
  <c r="Y46" i="1"/>
  <c r="AD45" i="1"/>
  <c r="T46" i="1"/>
  <c r="AC46" i="1"/>
  <c r="L47" i="1"/>
  <c r="D47" i="1"/>
  <c r="G46" i="1"/>
  <c r="K48" i="1"/>
  <c r="AB47" i="1"/>
  <c r="AB48" i="1" l="1"/>
  <c r="K49" i="1"/>
  <c r="G47" i="1"/>
  <c r="D48" i="1"/>
  <c r="L48" i="1"/>
  <c r="AC47" i="1"/>
  <c r="T47" i="1"/>
  <c r="AD46" i="1"/>
  <c r="AE46" i="1"/>
  <c r="Y47" i="1"/>
  <c r="D49" i="1" l="1"/>
  <c r="G48" i="1"/>
  <c r="AB49" i="1"/>
  <c r="K50" i="1"/>
  <c r="AE47" i="1"/>
  <c r="Y48" i="1"/>
  <c r="AD47" i="1"/>
  <c r="T48" i="1"/>
  <c r="L49" i="1"/>
  <c r="AC48" i="1"/>
  <c r="AB50" i="1" l="1"/>
  <c r="K51" i="1"/>
  <c r="D50" i="1"/>
  <c r="G49" i="1"/>
  <c r="L50" i="1"/>
  <c r="AC49" i="1"/>
  <c r="T49" i="1"/>
  <c r="AD48" i="1"/>
  <c r="Y49" i="1"/>
  <c r="AE48" i="1"/>
  <c r="AE49" i="1" l="1"/>
  <c r="Y50" i="1"/>
  <c r="AC50" i="1"/>
  <c r="L51" i="1"/>
  <c r="AD49" i="1"/>
  <c r="T50" i="1"/>
  <c r="G50" i="1"/>
  <c r="D51" i="1"/>
  <c r="K52" i="1"/>
  <c r="AB51" i="1"/>
  <c r="AB52" i="1" l="1"/>
  <c r="K53" i="1"/>
  <c r="G51" i="1"/>
  <c r="D52" i="1"/>
  <c r="T51" i="1"/>
  <c r="AD50" i="1"/>
  <c r="L52" i="1"/>
  <c r="AC51" i="1"/>
  <c r="AE50" i="1"/>
  <c r="Y51" i="1"/>
  <c r="AE51" i="1" l="1"/>
  <c r="Y52" i="1"/>
  <c r="L53" i="1"/>
  <c r="AC52" i="1"/>
  <c r="AD51" i="1"/>
  <c r="T52" i="1"/>
  <c r="D53" i="1"/>
  <c r="G52" i="1"/>
  <c r="K54" i="1"/>
  <c r="AB53" i="1"/>
  <c r="AB54" i="1" l="1"/>
  <c r="K55" i="1"/>
  <c r="L54" i="1"/>
  <c r="AC53" i="1"/>
  <c r="Y53" i="1"/>
  <c r="AE52" i="1"/>
  <c r="D54" i="1"/>
  <c r="G53" i="1"/>
  <c r="T53" i="1"/>
  <c r="AD52" i="1"/>
  <c r="AC54" i="1" l="1"/>
  <c r="L55" i="1"/>
  <c r="AB55" i="1"/>
  <c r="K56" i="1"/>
  <c r="AD53" i="1"/>
  <c r="T54" i="1"/>
  <c r="D55" i="1"/>
  <c r="G54" i="1"/>
  <c r="Y54" i="1"/>
  <c r="AE53" i="1"/>
  <c r="AE54" i="1" l="1"/>
  <c r="Y55" i="1"/>
  <c r="D56" i="1"/>
  <c r="G55" i="1"/>
  <c r="T55" i="1"/>
  <c r="AD54" i="1"/>
  <c r="K57" i="1"/>
  <c r="AB56" i="1"/>
  <c r="AC55" i="1"/>
  <c r="L56" i="1"/>
  <c r="L57" i="1" l="1"/>
  <c r="AC56" i="1"/>
  <c r="AB57" i="1"/>
  <c r="K58" i="1"/>
  <c r="AD55" i="1"/>
  <c r="T56" i="1"/>
  <c r="D57" i="1"/>
  <c r="G56" i="1"/>
  <c r="AE55" i="1"/>
  <c r="Y56" i="1"/>
  <c r="Y57" i="1" l="1"/>
  <c r="AE56" i="1"/>
  <c r="G57" i="1"/>
  <c r="D58" i="1"/>
  <c r="AD56" i="1"/>
  <c r="T57" i="1"/>
  <c r="AB58" i="1"/>
  <c r="K59" i="1"/>
  <c r="L58" i="1"/>
  <c r="AC57" i="1"/>
  <c r="AD57" i="1" l="1"/>
  <c r="T58" i="1"/>
  <c r="L59" i="1"/>
  <c r="AC58" i="1"/>
  <c r="K60" i="1"/>
  <c r="AB59" i="1"/>
  <c r="D59" i="1"/>
  <c r="G58" i="1"/>
  <c r="AE57" i="1"/>
  <c r="Y58" i="1"/>
  <c r="AE58" i="1" l="1"/>
  <c r="Y59" i="1"/>
  <c r="G59" i="1"/>
  <c r="D60" i="1"/>
  <c r="AB60" i="1"/>
  <c r="K61" i="1"/>
  <c r="L60" i="1"/>
  <c r="AC59" i="1"/>
  <c r="T59" i="1"/>
  <c r="AD58" i="1"/>
  <c r="D61" i="1" l="1"/>
  <c r="G60" i="1"/>
  <c r="Y60" i="1"/>
  <c r="AE59" i="1"/>
  <c r="T60" i="1"/>
  <c r="AD59" i="1"/>
  <c r="L61" i="1"/>
  <c r="AC60" i="1"/>
  <c r="AB61" i="1"/>
  <c r="K62" i="1"/>
  <c r="AE60" i="1" l="1"/>
  <c r="Y61" i="1"/>
  <c r="AB62" i="1"/>
  <c r="K63" i="1"/>
  <c r="AD60" i="1"/>
  <c r="T61" i="1"/>
  <c r="L62" i="1"/>
  <c r="AC61" i="1"/>
  <c r="D62" i="1"/>
  <c r="G61" i="1"/>
  <c r="G62" i="1" l="1"/>
  <c r="D63" i="1"/>
  <c r="L63" i="1"/>
  <c r="AC62" i="1"/>
  <c r="AD61" i="1"/>
  <c r="T62" i="1"/>
  <c r="AB63" i="1"/>
  <c r="K64" i="1"/>
  <c r="AE61" i="1"/>
  <c r="Y62" i="1"/>
  <c r="AE62" i="1" l="1"/>
  <c r="Y63" i="1"/>
  <c r="K65" i="1"/>
  <c r="AB64" i="1"/>
  <c r="T63" i="1"/>
  <c r="AD62" i="1"/>
  <c r="L64" i="1"/>
  <c r="AC63" i="1"/>
  <c r="G63" i="1"/>
  <c r="D64" i="1"/>
  <c r="G64" i="1" l="1"/>
  <c r="D65" i="1"/>
  <c r="AC64" i="1"/>
  <c r="L65" i="1"/>
  <c r="AD63" i="1"/>
  <c r="T64" i="1"/>
  <c r="K66" i="1"/>
  <c r="AB65" i="1"/>
  <c r="AE63" i="1"/>
  <c r="Y64" i="1"/>
  <c r="L66" i="1" l="1"/>
  <c r="AC65" i="1"/>
  <c r="G65" i="1"/>
  <c r="D66" i="1"/>
  <c r="AE64" i="1"/>
  <c r="Y65" i="1"/>
  <c r="K67" i="1"/>
  <c r="AB66" i="1"/>
  <c r="T65" i="1"/>
  <c r="AD64" i="1"/>
  <c r="AD65" i="1" l="1"/>
  <c r="T66" i="1"/>
  <c r="K68" i="1"/>
  <c r="AB67" i="1"/>
  <c r="AE65" i="1"/>
  <c r="Y66" i="1"/>
  <c r="G66" i="1"/>
  <c r="D67" i="1"/>
  <c r="L67" i="1"/>
  <c r="AC66" i="1"/>
  <c r="K69" i="1" l="1"/>
  <c r="AB68" i="1"/>
  <c r="AD66" i="1"/>
  <c r="T67" i="1"/>
  <c r="L68" i="1"/>
  <c r="AC67" i="1"/>
  <c r="G67" i="1"/>
  <c r="D68" i="1"/>
  <c r="Y67" i="1"/>
  <c r="AE66" i="1"/>
  <c r="AE67" i="1" l="1"/>
  <c r="Y68" i="1"/>
  <c r="D69" i="1"/>
  <c r="G68" i="1"/>
  <c r="L69" i="1"/>
  <c r="AC68" i="1"/>
  <c r="T68" i="1"/>
  <c r="AD67" i="1"/>
  <c r="AB69" i="1"/>
  <c r="K70" i="1"/>
  <c r="K71" i="1" l="1"/>
  <c r="AB70" i="1"/>
  <c r="AC69" i="1"/>
  <c r="L70" i="1"/>
  <c r="AD68" i="1"/>
  <c r="T69" i="1"/>
  <c r="AE68" i="1"/>
  <c r="Y69" i="1"/>
  <c r="G69" i="1"/>
  <c r="D70" i="1"/>
  <c r="G70" i="1" l="1"/>
  <c r="D71" i="1"/>
  <c r="Y70" i="1"/>
  <c r="AE69" i="1"/>
  <c r="AD69" i="1"/>
  <c r="T70" i="1"/>
  <c r="L71" i="1"/>
  <c r="AC70" i="1"/>
  <c r="K72" i="1"/>
  <c r="AB71" i="1"/>
  <c r="T71" i="1" l="1"/>
  <c r="AD70" i="1"/>
  <c r="AE70" i="1"/>
  <c r="Y71" i="1"/>
  <c r="AC71" i="1"/>
  <c r="L72" i="1"/>
  <c r="G71" i="1"/>
  <c r="D72" i="1"/>
  <c r="AB72" i="1"/>
  <c r="K73" i="1"/>
  <c r="K74" i="1" l="1"/>
  <c r="AB73" i="1"/>
  <c r="D73" i="1"/>
  <c r="G72" i="1"/>
  <c r="L73" i="1"/>
  <c r="AC72" i="1"/>
  <c r="AE71" i="1"/>
  <c r="Y72" i="1"/>
  <c r="T72" i="1"/>
  <c r="AD71" i="1"/>
  <c r="G73" i="1" l="1"/>
  <c r="D74" i="1"/>
  <c r="AB74" i="1"/>
  <c r="K75" i="1"/>
  <c r="AB75" i="1" s="1"/>
  <c r="AD72" i="1"/>
  <c r="T73" i="1"/>
  <c r="AE72" i="1"/>
  <c r="Y73" i="1"/>
  <c r="L74" i="1"/>
  <c r="AC73" i="1"/>
  <c r="T74" i="1" l="1"/>
  <c r="AD73" i="1"/>
  <c r="AE73" i="1"/>
  <c r="Y74" i="1"/>
  <c r="L75" i="1"/>
  <c r="AC75" i="1" s="1"/>
  <c r="AC74" i="1"/>
  <c r="G74" i="1"/>
  <c r="D75" i="1"/>
  <c r="G75" i="1" s="1"/>
  <c r="AE74" i="1" l="1"/>
  <c r="Y75" i="1"/>
  <c r="AE75" i="1" s="1"/>
  <c r="AD74" i="1"/>
  <c r="T75" i="1"/>
  <c r="AD75" i="1" s="1"/>
</calcChain>
</file>

<file path=xl/sharedStrings.xml><?xml version="1.0" encoding="utf-8"?>
<sst xmlns="http://schemas.openxmlformats.org/spreadsheetml/2006/main" count="161" uniqueCount="93">
  <si>
    <t>Lifetime Softball Statistics</t>
  </si>
  <si>
    <t>Cumulative Totals</t>
  </si>
  <si>
    <t>Year</t>
  </si>
  <si>
    <t>Team................</t>
  </si>
  <si>
    <t>Manager........</t>
  </si>
  <si>
    <t>W</t>
  </si>
  <si>
    <t>L</t>
  </si>
  <si>
    <t>NG</t>
  </si>
  <si>
    <t>Pct</t>
  </si>
  <si>
    <t>PA</t>
  </si>
  <si>
    <t>AB</t>
  </si>
  <si>
    <t>R</t>
  </si>
  <si>
    <t>H</t>
  </si>
  <si>
    <t>PO</t>
  </si>
  <si>
    <t>A</t>
  </si>
  <si>
    <t>E</t>
  </si>
  <si>
    <t>FCh</t>
  </si>
  <si>
    <t>1B</t>
  </si>
  <si>
    <t>2B</t>
  </si>
  <si>
    <t>3B</t>
  </si>
  <si>
    <t>HR</t>
  </si>
  <si>
    <t>TB</t>
  </si>
  <si>
    <t>Sac</t>
  </si>
  <si>
    <t>BB</t>
  </si>
  <si>
    <t>K</t>
  </si>
  <si>
    <t>SOE</t>
  </si>
  <si>
    <t>TOB</t>
  </si>
  <si>
    <t>IP</t>
  </si>
  <si>
    <t>RBI</t>
  </si>
  <si>
    <t>BA</t>
  </si>
  <si>
    <t>FA</t>
  </si>
  <si>
    <t>SA</t>
  </si>
  <si>
    <t>OBPct</t>
  </si>
  <si>
    <t>Sumner Merchants....</t>
  </si>
  <si>
    <t>Jess Brian.....</t>
  </si>
  <si>
    <t>Bridgeport Merchants</t>
  </si>
  <si>
    <t>Steve Andrews</t>
  </si>
  <si>
    <t>AMF.................</t>
  </si>
  <si>
    <t>...............</t>
  </si>
  <si>
    <t>Stop Cocks..........</t>
  </si>
  <si>
    <t>Hainesville Station</t>
  </si>
  <si>
    <t>Henry Hunsinger</t>
  </si>
  <si>
    <t>Grand Slam Rockets</t>
  </si>
  <si>
    <t>Ron Schuster...</t>
  </si>
  <si>
    <t>Rockets.............</t>
  </si>
  <si>
    <t>Monday Rebels.......</t>
  </si>
  <si>
    <t>Loren Presley</t>
  </si>
  <si>
    <t>Friday Rebels.......</t>
  </si>
  <si>
    <t>Slammers............</t>
  </si>
  <si>
    <t>Tournaments.........</t>
  </si>
  <si>
    <t>Combined............</t>
  </si>
  <si>
    <t>Taco Loco...........</t>
  </si>
  <si>
    <t>Waukegan (summer)</t>
  </si>
  <si>
    <t>Waukegan Tournament</t>
  </si>
  <si>
    <t>Waukegan Playoff....</t>
  </si>
  <si>
    <t>Mundelein...........</t>
  </si>
  <si>
    <t>Mundelein (summer)</t>
  </si>
  <si>
    <t>Mundelein (fall)....</t>
  </si>
  <si>
    <t>Waukegan (fall)....</t>
  </si>
  <si>
    <t>..</t>
  </si>
  <si>
    <t>Lifetime Totals.....</t>
  </si>
  <si>
    <t>W - Wins</t>
  </si>
  <si>
    <t>PA - Plate Appearances</t>
  </si>
  <si>
    <t>PO - Put Outs</t>
  </si>
  <si>
    <t>1B - Singles</t>
  </si>
  <si>
    <t>TB - Total Bases</t>
  </si>
  <si>
    <t>SOE - Safe On Error</t>
  </si>
  <si>
    <t>RBI - Runs Batted In</t>
  </si>
  <si>
    <t>OBPct - On Base</t>
  </si>
  <si>
    <t>L - Losses</t>
  </si>
  <si>
    <t>AB - At Bats</t>
  </si>
  <si>
    <t>A - Assists</t>
  </si>
  <si>
    <t>2B - Doubles</t>
  </si>
  <si>
    <t>Sac - Sacrifices</t>
  </si>
  <si>
    <t xml:space="preserve">     or fielder's choice</t>
  </si>
  <si>
    <t>BA - Batting Average</t>
  </si>
  <si>
    <t>Percentage</t>
  </si>
  <si>
    <t>NG - Number of Games</t>
  </si>
  <si>
    <t>R - Runs</t>
  </si>
  <si>
    <t>E - Errors</t>
  </si>
  <si>
    <t>3B - Triples</t>
  </si>
  <si>
    <t>BB - Base on Balls</t>
  </si>
  <si>
    <t>TOB - Times On Base</t>
  </si>
  <si>
    <t>FA - Fielding Average</t>
  </si>
  <si>
    <t>Pct  - Percentage</t>
  </si>
  <si>
    <t>H - Hits</t>
  </si>
  <si>
    <t>FCh - Fielding Chances</t>
  </si>
  <si>
    <t>HR - Home Runs</t>
  </si>
  <si>
    <t>K - Strike outs</t>
  </si>
  <si>
    <t>IP - Innings Played</t>
  </si>
  <si>
    <t>SA - Slugging Average</t>
  </si>
  <si>
    <t>Updated:</t>
  </si>
  <si>
    <t>Pat Zwilling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</si>
</sst>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2" x14ac:knownFonts="1">
    <font>
      <sz val="10"/>
      <name val="Geneva"/>
    </font>
    <font>
      <sz val="16"/>
      <name val="Gene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06"/>
  <sheetViews>
    <sheetView tabSelected="1" workbookViewId="0">
      <selection activeCell="G44" sqref="G44"/>
    </sheetView>
  </sheetViews>
  <sheetFormatPr baseColWidth="10" defaultColWidth="12.42578125" defaultRowHeight="14" x14ac:dyDescent="0.2"/>
  <cols>
    <col min="1" max="1" width="5.7109375" customWidth="1"/>
    <col min="2" max="2" width="20.5703125" customWidth="1"/>
    <col min="3" max="3" width="15.42578125" customWidth="1"/>
    <col min="4" max="6" width="7.140625" customWidth="1"/>
    <col min="7" max="7" width="7.140625" style="1" customWidth="1"/>
    <col min="8" max="8" width="7.140625" customWidth="1"/>
    <col min="9" max="25" width="7.140625" style="2" customWidth="1"/>
    <col min="26" max="26" width="7.140625" style="3" customWidth="1"/>
    <col min="27" max="27" width="7.140625" style="2" customWidth="1"/>
    <col min="28" max="31" width="7.140625" style="4" customWidth="1"/>
    <col min="32" max="55" width="5.7109375" customWidth="1"/>
    <col min="56" max="56" width="7.42578125" customWidth="1"/>
    <col min="57" max="63" width="5.7109375" customWidth="1"/>
  </cols>
  <sheetData>
    <row r="1" spans="1:31" ht="21" x14ac:dyDescent="0.25">
      <c r="C1" s="8" t="s">
        <v>92</v>
      </c>
    </row>
    <row r="2" spans="1:31" x14ac:dyDescent="0.2">
      <c r="C2" t="s">
        <v>0</v>
      </c>
    </row>
    <row r="4" spans="1:31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4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3" t="s">
        <v>27</v>
      </c>
      <c r="AA4" s="2" t="s">
        <v>28</v>
      </c>
      <c r="AB4" s="4" t="s">
        <v>29</v>
      </c>
      <c r="AC4" s="4" t="s">
        <v>30</v>
      </c>
      <c r="AD4" s="4" t="s">
        <v>31</v>
      </c>
      <c r="AE4" s="4" t="s">
        <v>32</v>
      </c>
    </row>
    <row r="5" spans="1:31" x14ac:dyDescent="0.2">
      <c r="A5" s="2">
        <v>74</v>
      </c>
      <c r="B5" s="2" t="s">
        <v>33</v>
      </c>
      <c r="C5" s="2" t="s">
        <v>34</v>
      </c>
      <c r="D5" s="2">
        <v>14</v>
      </c>
      <c r="E5" s="2">
        <v>16</v>
      </c>
      <c r="F5" s="2">
        <f t="shared" ref="F5:F26" si="0">D5+E5</f>
        <v>30</v>
      </c>
      <c r="G5" s="4">
        <f t="shared" ref="G5:G26" si="1">D5/F5</f>
        <v>0.46666666666666667</v>
      </c>
      <c r="H5" s="2">
        <f t="shared" ref="H5:H36" si="2">I5+U5+V5</f>
        <v>115</v>
      </c>
      <c r="I5" s="2">
        <v>108</v>
      </c>
      <c r="J5" s="2">
        <v>41</v>
      </c>
      <c r="K5" s="2">
        <v>46</v>
      </c>
      <c r="L5" s="2">
        <v>78</v>
      </c>
      <c r="M5" s="2">
        <v>12</v>
      </c>
      <c r="N5" s="2">
        <v>7</v>
      </c>
      <c r="O5" s="2">
        <f t="shared" ref="O5:O14" si="3">L5+M5+N5</f>
        <v>97</v>
      </c>
      <c r="P5" s="2">
        <v>29</v>
      </c>
      <c r="Q5" s="2">
        <v>11</v>
      </c>
      <c r="R5" s="2">
        <v>0</v>
      </c>
      <c r="S5" s="2">
        <v>6</v>
      </c>
      <c r="T5" s="2">
        <f t="shared" ref="T5:T36" si="4">P5+2*Q5+3*R5+4*S5</f>
        <v>75</v>
      </c>
      <c r="U5" s="2">
        <v>4</v>
      </c>
      <c r="V5" s="2">
        <v>3</v>
      </c>
      <c r="W5" s="2">
        <v>1</v>
      </c>
      <c r="X5" s="2">
        <v>12</v>
      </c>
      <c r="Y5" s="2">
        <f t="shared" ref="Y5:Y36" si="5">K5+V5+X5</f>
        <v>61</v>
      </c>
      <c r="Z5" s="3">
        <v>207</v>
      </c>
      <c r="AA5" s="2">
        <v>31</v>
      </c>
      <c r="AB5" s="4">
        <f t="shared" ref="AB5:AB36" si="6">K5/I5</f>
        <v>0.42592592592592593</v>
      </c>
      <c r="AC5" s="4">
        <f t="shared" ref="AC5:AC10" si="7">(L5+M5)/O5</f>
        <v>0.92783505154639179</v>
      </c>
      <c r="AD5" s="4">
        <f t="shared" ref="AD5:AD36" si="8">T5/I5</f>
        <v>0.69444444444444442</v>
      </c>
      <c r="AE5" s="4">
        <f t="shared" ref="AE5:AE36" si="9">Y5/H5</f>
        <v>0.5304347826086957</v>
      </c>
    </row>
    <row r="6" spans="1:31" x14ac:dyDescent="0.2">
      <c r="A6" s="2">
        <v>75</v>
      </c>
      <c r="B6" s="2" t="s">
        <v>35</v>
      </c>
      <c r="C6" s="2" t="s">
        <v>36</v>
      </c>
      <c r="D6" s="2">
        <v>15</v>
      </c>
      <c r="E6" s="2">
        <v>12</v>
      </c>
      <c r="F6" s="2">
        <f t="shared" si="0"/>
        <v>27</v>
      </c>
      <c r="G6" s="4">
        <f t="shared" si="1"/>
        <v>0.55555555555555558</v>
      </c>
      <c r="H6" s="2">
        <f t="shared" si="2"/>
        <v>104</v>
      </c>
      <c r="I6" s="2">
        <v>99</v>
      </c>
      <c r="J6" s="2">
        <v>27</v>
      </c>
      <c r="K6" s="2">
        <v>46</v>
      </c>
      <c r="L6" s="2">
        <v>44</v>
      </c>
      <c r="M6" s="2">
        <v>22</v>
      </c>
      <c r="N6" s="2">
        <v>6</v>
      </c>
      <c r="O6" s="2">
        <f t="shared" si="3"/>
        <v>72</v>
      </c>
      <c r="P6" s="2">
        <v>38</v>
      </c>
      <c r="Q6" s="2">
        <v>7</v>
      </c>
      <c r="R6" s="2">
        <v>1</v>
      </c>
      <c r="S6" s="2">
        <v>0</v>
      </c>
      <c r="T6" s="2">
        <f t="shared" si="4"/>
        <v>55</v>
      </c>
      <c r="U6" s="2">
        <v>2</v>
      </c>
      <c r="V6" s="2">
        <v>3</v>
      </c>
      <c r="W6" s="2">
        <v>0</v>
      </c>
      <c r="X6" s="2">
        <v>12</v>
      </c>
      <c r="Y6" s="2">
        <f t="shared" si="5"/>
        <v>61</v>
      </c>
      <c r="Z6" s="3">
        <v>185.5</v>
      </c>
      <c r="AA6" s="2">
        <v>17</v>
      </c>
      <c r="AB6" s="4">
        <f t="shared" si="6"/>
        <v>0.46464646464646464</v>
      </c>
      <c r="AC6" s="4">
        <f t="shared" si="7"/>
        <v>0.91666666666666663</v>
      </c>
      <c r="AD6" s="4">
        <f t="shared" si="8"/>
        <v>0.55555555555555558</v>
      </c>
      <c r="AE6" s="4">
        <f t="shared" si="9"/>
        <v>0.58653846153846156</v>
      </c>
    </row>
    <row r="7" spans="1:31" x14ac:dyDescent="0.2">
      <c r="A7" s="2">
        <v>75</v>
      </c>
      <c r="B7" s="2" t="s">
        <v>37</v>
      </c>
      <c r="C7" s="2" t="s">
        <v>38</v>
      </c>
      <c r="D7" s="2">
        <v>11</v>
      </c>
      <c r="E7" s="2">
        <v>15</v>
      </c>
      <c r="F7" s="2">
        <f t="shared" si="0"/>
        <v>26</v>
      </c>
      <c r="G7" s="4">
        <f t="shared" si="1"/>
        <v>0.42307692307692307</v>
      </c>
      <c r="H7" s="2">
        <f t="shared" si="2"/>
        <v>110</v>
      </c>
      <c r="I7" s="2">
        <v>101</v>
      </c>
      <c r="J7" s="2">
        <v>27</v>
      </c>
      <c r="K7" s="2">
        <v>54</v>
      </c>
      <c r="L7" s="2">
        <v>69</v>
      </c>
      <c r="M7" s="2">
        <v>21</v>
      </c>
      <c r="N7" s="2">
        <v>9</v>
      </c>
      <c r="O7" s="2">
        <f t="shared" si="3"/>
        <v>99</v>
      </c>
      <c r="P7" s="2">
        <v>39</v>
      </c>
      <c r="Q7" s="2">
        <v>4</v>
      </c>
      <c r="R7" s="2">
        <v>4</v>
      </c>
      <c r="S7" s="2">
        <v>7</v>
      </c>
      <c r="T7" s="2">
        <f t="shared" si="4"/>
        <v>87</v>
      </c>
      <c r="U7" s="2">
        <v>5</v>
      </c>
      <c r="V7" s="2">
        <v>4</v>
      </c>
      <c r="W7" s="2">
        <v>1</v>
      </c>
      <c r="X7" s="2">
        <v>7</v>
      </c>
      <c r="Y7" s="2">
        <f t="shared" si="5"/>
        <v>65</v>
      </c>
      <c r="Z7" s="3">
        <v>209.5</v>
      </c>
      <c r="AA7" s="2">
        <v>34</v>
      </c>
      <c r="AB7" s="4">
        <f t="shared" si="6"/>
        <v>0.53465346534653468</v>
      </c>
      <c r="AC7" s="4">
        <f t="shared" si="7"/>
        <v>0.90909090909090906</v>
      </c>
      <c r="AD7" s="4">
        <f t="shared" si="8"/>
        <v>0.86138613861386137</v>
      </c>
      <c r="AE7" s="4">
        <f t="shared" si="9"/>
        <v>0.59090909090909094</v>
      </c>
    </row>
    <row r="8" spans="1:31" x14ac:dyDescent="0.2">
      <c r="A8" s="2">
        <v>76</v>
      </c>
      <c r="B8" s="2" t="s">
        <v>35</v>
      </c>
      <c r="C8" s="2" t="s">
        <v>36</v>
      </c>
      <c r="D8" s="2">
        <v>26</v>
      </c>
      <c r="E8" s="2">
        <v>16</v>
      </c>
      <c r="F8" s="2">
        <f t="shared" si="0"/>
        <v>42</v>
      </c>
      <c r="G8" s="4">
        <f t="shared" si="1"/>
        <v>0.61904761904761907</v>
      </c>
      <c r="H8" s="2">
        <f t="shared" si="2"/>
        <v>147</v>
      </c>
      <c r="I8" s="2">
        <v>129</v>
      </c>
      <c r="J8" s="2">
        <v>60</v>
      </c>
      <c r="K8" s="2">
        <v>66</v>
      </c>
      <c r="L8" s="2">
        <v>67</v>
      </c>
      <c r="M8" s="2">
        <v>8</v>
      </c>
      <c r="N8" s="2">
        <v>10</v>
      </c>
      <c r="O8" s="2">
        <f t="shared" si="3"/>
        <v>85</v>
      </c>
      <c r="P8" s="2">
        <v>53</v>
      </c>
      <c r="Q8" s="2">
        <v>7</v>
      </c>
      <c r="R8" s="2">
        <v>2</v>
      </c>
      <c r="S8" s="2">
        <v>4</v>
      </c>
      <c r="T8" s="2">
        <f t="shared" si="4"/>
        <v>89</v>
      </c>
      <c r="U8" s="2">
        <v>0</v>
      </c>
      <c r="V8" s="2">
        <v>18</v>
      </c>
      <c r="W8" s="2">
        <v>2</v>
      </c>
      <c r="X8" s="2">
        <v>13</v>
      </c>
      <c r="Y8" s="2">
        <f t="shared" si="5"/>
        <v>97</v>
      </c>
      <c r="Z8" s="3">
        <v>239</v>
      </c>
      <c r="AA8" s="2">
        <v>31</v>
      </c>
      <c r="AB8" s="4">
        <f t="shared" si="6"/>
        <v>0.51162790697674421</v>
      </c>
      <c r="AC8" s="4">
        <f t="shared" si="7"/>
        <v>0.88235294117647056</v>
      </c>
      <c r="AD8" s="4">
        <f t="shared" si="8"/>
        <v>0.68992248062015504</v>
      </c>
      <c r="AE8" s="4">
        <f t="shared" si="9"/>
        <v>0.65986394557823125</v>
      </c>
    </row>
    <row r="9" spans="1:31" x14ac:dyDescent="0.2">
      <c r="A9" s="2">
        <v>77</v>
      </c>
      <c r="B9" s="2" t="s">
        <v>35</v>
      </c>
      <c r="C9" s="2" t="s">
        <v>36</v>
      </c>
      <c r="D9" s="2">
        <v>27</v>
      </c>
      <c r="E9" s="2">
        <v>17</v>
      </c>
      <c r="F9" s="2">
        <f t="shared" si="0"/>
        <v>44</v>
      </c>
      <c r="G9" s="4">
        <f t="shared" si="1"/>
        <v>0.61363636363636365</v>
      </c>
      <c r="H9" s="2">
        <f t="shared" si="2"/>
        <v>149</v>
      </c>
      <c r="I9" s="2">
        <v>147</v>
      </c>
      <c r="J9" s="2">
        <v>58</v>
      </c>
      <c r="K9" s="2">
        <v>75</v>
      </c>
      <c r="L9" s="2">
        <v>69</v>
      </c>
      <c r="M9" s="2">
        <v>25</v>
      </c>
      <c r="N9" s="2">
        <v>9</v>
      </c>
      <c r="O9" s="2">
        <f t="shared" si="3"/>
        <v>103</v>
      </c>
      <c r="P9" s="2">
        <v>40</v>
      </c>
      <c r="Q9" s="2">
        <v>20</v>
      </c>
      <c r="R9" s="2">
        <v>4</v>
      </c>
      <c r="S9" s="2">
        <v>11</v>
      </c>
      <c r="T9" s="2">
        <f t="shared" si="4"/>
        <v>136</v>
      </c>
      <c r="U9" s="2">
        <v>0</v>
      </c>
      <c r="V9" s="2">
        <v>2</v>
      </c>
      <c r="W9" s="2">
        <v>0</v>
      </c>
      <c r="X9" s="2">
        <v>10</v>
      </c>
      <c r="Y9" s="2">
        <f t="shared" si="5"/>
        <v>87</v>
      </c>
      <c r="Z9" s="3">
        <v>240.5</v>
      </c>
      <c r="AA9" s="2">
        <v>41</v>
      </c>
      <c r="AB9" s="4">
        <f t="shared" si="6"/>
        <v>0.51020408163265307</v>
      </c>
      <c r="AC9" s="4">
        <f t="shared" si="7"/>
        <v>0.91262135922330101</v>
      </c>
      <c r="AD9" s="4">
        <f t="shared" si="8"/>
        <v>0.92517006802721091</v>
      </c>
      <c r="AE9" s="4">
        <f t="shared" si="9"/>
        <v>0.58389261744966447</v>
      </c>
    </row>
    <row r="10" spans="1:31" x14ac:dyDescent="0.2">
      <c r="A10" s="2">
        <v>78</v>
      </c>
      <c r="B10" s="2" t="s">
        <v>35</v>
      </c>
      <c r="C10" s="2" t="s">
        <v>36</v>
      </c>
      <c r="D10" s="2">
        <v>31</v>
      </c>
      <c r="E10" s="2">
        <v>20</v>
      </c>
      <c r="F10" s="2">
        <f t="shared" si="0"/>
        <v>51</v>
      </c>
      <c r="G10" s="4">
        <f t="shared" si="1"/>
        <v>0.60784313725490191</v>
      </c>
      <c r="H10" s="2">
        <f t="shared" si="2"/>
        <v>180</v>
      </c>
      <c r="I10" s="2">
        <v>166</v>
      </c>
      <c r="J10" s="2">
        <v>73</v>
      </c>
      <c r="K10" s="2">
        <v>95</v>
      </c>
      <c r="L10" s="2">
        <v>116</v>
      </c>
      <c r="M10" s="2">
        <v>4</v>
      </c>
      <c r="N10" s="2">
        <v>4</v>
      </c>
      <c r="O10" s="2">
        <f t="shared" si="3"/>
        <v>124</v>
      </c>
      <c r="P10" s="2">
        <v>59</v>
      </c>
      <c r="Q10" s="2">
        <v>25</v>
      </c>
      <c r="R10" s="2">
        <v>3</v>
      </c>
      <c r="S10" s="2">
        <v>8</v>
      </c>
      <c r="T10" s="2">
        <f t="shared" si="4"/>
        <v>150</v>
      </c>
      <c r="U10" s="2">
        <v>6</v>
      </c>
      <c r="V10" s="2">
        <v>8</v>
      </c>
      <c r="W10" s="2">
        <v>1</v>
      </c>
      <c r="X10" s="2">
        <v>11</v>
      </c>
      <c r="Y10" s="2">
        <f t="shared" si="5"/>
        <v>114</v>
      </c>
      <c r="Z10" s="3">
        <v>301.5</v>
      </c>
      <c r="AA10" s="2">
        <v>56</v>
      </c>
      <c r="AB10" s="4">
        <f t="shared" si="6"/>
        <v>0.57228915662650603</v>
      </c>
      <c r="AC10" s="4">
        <f t="shared" si="7"/>
        <v>0.967741935483871</v>
      </c>
      <c r="AD10" s="4">
        <f t="shared" si="8"/>
        <v>0.90361445783132532</v>
      </c>
      <c r="AE10" s="4">
        <f t="shared" si="9"/>
        <v>0.6333333333333333</v>
      </c>
    </row>
    <row r="11" spans="1:31" x14ac:dyDescent="0.2">
      <c r="A11" s="2">
        <v>80</v>
      </c>
      <c r="B11" s="2" t="s">
        <v>39</v>
      </c>
      <c r="C11" s="2" t="s">
        <v>38</v>
      </c>
      <c r="D11" s="2">
        <v>8</v>
      </c>
      <c r="E11" s="2">
        <v>7</v>
      </c>
      <c r="F11" s="2">
        <f t="shared" si="0"/>
        <v>15</v>
      </c>
      <c r="G11" s="4">
        <f t="shared" si="1"/>
        <v>0.53333333333333333</v>
      </c>
      <c r="H11" s="2">
        <f t="shared" si="2"/>
        <v>50</v>
      </c>
      <c r="I11" s="2">
        <v>47</v>
      </c>
      <c r="J11" s="2">
        <v>5</v>
      </c>
      <c r="K11" s="2">
        <v>22</v>
      </c>
      <c r="L11" s="2">
        <v>0</v>
      </c>
      <c r="M11" s="2">
        <v>0</v>
      </c>
      <c r="N11" s="2">
        <v>0</v>
      </c>
      <c r="O11" s="2">
        <f t="shared" si="3"/>
        <v>0</v>
      </c>
      <c r="P11" s="2">
        <v>15</v>
      </c>
      <c r="Q11" s="2">
        <v>3</v>
      </c>
      <c r="R11" s="2">
        <v>3</v>
      </c>
      <c r="S11" s="2">
        <v>5</v>
      </c>
      <c r="T11" s="2">
        <f t="shared" si="4"/>
        <v>50</v>
      </c>
      <c r="U11" s="2">
        <v>0</v>
      </c>
      <c r="V11" s="2">
        <v>3</v>
      </c>
      <c r="W11" s="2">
        <v>0</v>
      </c>
      <c r="X11" s="2">
        <v>0</v>
      </c>
      <c r="Y11" s="2">
        <f t="shared" si="5"/>
        <v>25</v>
      </c>
      <c r="Z11" s="3">
        <v>75</v>
      </c>
      <c r="AA11" s="2">
        <v>21</v>
      </c>
      <c r="AB11" s="4">
        <f t="shared" si="6"/>
        <v>0.46808510638297873</v>
      </c>
      <c r="AC11" s="4">
        <v>0</v>
      </c>
      <c r="AD11" s="4">
        <f t="shared" si="8"/>
        <v>1.0638297872340425</v>
      </c>
      <c r="AE11" s="4">
        <f t="shared" si="9"/>
        <v>0.5</v>
      </c>
    </row>
    <row r="12" spans="1:31" x14ac:dyDescent="0.2">
      <c r="A12" s="2">
        <v>81</v>
      </c>
      <c r="B12" s="2" t="s">
        <v>40</v>
      </c>
      <c r="C12" s="2" t="s">
        <v>41</v>
      </c>
      <c r="D12" s="2">
        <v>6</v>
      </c>
      <c r="E12" s="2">
        <v>6</v>
      </c>
      <c r="F12" s="2">
        <f t="shared" si="0"/>
        <v>12</v>
      </c>
      <c r="G12" s="4">
        <f t="shared" si="1"/>
        <v>0.5</v>
      </c>
      <c r="H12" s="2">
        <f t="shared" si="2"/>
        <v>34</v>
      </c>
      <c r="I12" s="2">
        <v>32</v>
      </c>
      <c r="J12" s="2">
        <v>8</v>
      </c>
      <c r="K12" s="2">
        <v>16</v>
      </c>
      <c r="L12" s="2">
        <v>0</v>
      </c>
      <c r="M12" s="2">
        <v>0</v>
      </c>
      <c r="N12" s="2">
        <v>0</v>
      </c>
      <c r="O12" s="2">
        <f t="shared" si="3"/>
        <v>0</v>
      </c>
      <c r="P12" s="2">
        <v>8</v>
      </c>
      <c r="Q12" s="2">
        <v>4</v>
      </c>
      <c r="R12" s="2">
        <v>2</v>
      </c>
      <c r="S12" s="2">
        <v>2</v>
      </c>
      <c r="T12" s="2">
        <f t="shared" si="4"/>
        <v>30</v>
      </c>
      <c r="U12" s="2">
        <v>2</v>
      </c>
      <c r="V12" s="2">
        <v>0</v>
      </c>
      <c r="W12" s="2">
        <v>0</v>
      </c>
      <c r="X12" s="2">
        <v>0</v>
      </c>
      <c r="Y12" s="2">
        <f t="shared" si="5"/>
        <v>16</v>
      </c>
      <c r="Z12" s="3">
        <v>50</v>
      </c>
      <c r="AA12" s="2">
        <v>15</v>
      </c>
      <c r="AB12" s="4">
        <f t="shared" si="6"/>
        <v>0.5</v>
      </c>
      <c r="AC12" s="4">
        <v>0</v>
      </c>
      <c r="AD12" s="4">
        <f t="shared" si="8"/>
        <v>0.9375</v>
      </c>
      <c r="AE12" s="4">
        <f t="shared" si="9"/>
        <v>0.47058823529411764</v>
      </c>
    </row>
    <row r="13" spans="1:31" x14ac:dyDescent="0.2">
      <c r="A13" s="2">
        <v>82</v>
      </c>
      <c r="B13" s="2" t="s">
        <v>42</v>
      </c>
      <c r="C13" s="2" t="s">
        <v>43</v>
      </c>
      <c r="D13" s="2">
        <v>38</v>
      </c>
      <c r="E13" s="2">
        <v>22</v>
      </c>
      <c r="F13" s="2">
        <f t="shared" si="0"/>
        <v>60</v>
      </c>
      <c r="G13" s="4">
        <f t="shared" si="1"/>
        <v>0.6333333333333333</v>
      </c>
      <c r="H13" s="2">
        <f t="shared" si="2"/>
        <v>175</v>
      </c>
      <c r="I13" s="2">
        <v>148</v>
      </c>
      <c r="J13" s="2">
        <v>9</v>
      </c>
      <c r="K13" s="2">
        <v>71</v>
      </c>
      <c r="L13" s="2">
        <v>0</v>
      </c>
      <c r="M13" s="2">
        <v>0</v>
      </c>
      <c r="N13" s="2">
        <v>3</v>
      </c>
      <c r="O13" s="2">
        <f t="shared" si="3"/>
        <v>3</v>
      </c>
      <c r="P13" s="2">
        <v>47</v>
      </c>
      <c r="Q13" s="2">
        <v>5</v>
      </c>
      <c r="R13" s="2">
        <v>10</v>
      </c>
      <c r="S13" s="2">
        <v>9</v>
      </c>
      <c r="T13" s="2">
        <f t="shared" si="4"/>
        <v>123</v>
      </c>
      <c r="U13" s="2">
        <v>0</v>
      </c>
      <c r="V13" s="2">
        <v>27</v>
      </c>
      <c r="W13" s="2">
        <v>0</v>
      </c>
      <c r="X13" s="2">
        <v>0</v>
      </c>
      <c r="Y13" s="2">
        <f t="shared" si="5"/>
        <v>98</v>
      </c>
      <c r="Z13" s="3">
        <v>300</v>
      </c>
      <c r="AA13" s="2">
        <v>53</v>
      </c>
      <c r="AB13" s="4">
        <f t="shared" si="6"/>
        <v>0.47972972972972971</v>
      </c>
      <c r="AC13" s="4">
        <f>(L13+M13)/O13</f>
        <v>0</v>
      </c>
      <c r="AD13" s="4">
        <f t="shared" si="8"/>
        <v>0.83108108108108103</v>
      </c>
      <c r="AE13" s="4">
        <f t="shared" si="9"/>
        <v>0.56000000000000005</v>
      </c>
    </row>
    <row r="14" spans="1:31" x14ac:dyDescent="0.2">
      <c r="A14" s="2">
        <v>86</v>
      </c>
      <c r="B14" s="2" t="s">
        <v>44</v>
      </c>
      <c r="C14" s="2" t="s">
        <v>41</v>
      </c>
      <c r="D14" s="2">
        <v>15</v>
      </c>
      <c r="E14" s="2">
        <v>6</v>
      </c>
      <c r="F14" s="2">
        <f t="shared" si="0"/>
        <v>21</v>
      </c>
      <c r="G14" s="4">
        <f t="shared" si="1"/>
        <v>0.7142857142857143</v>
      </c>
      <c r="H14" s="2">
        <f t="shared" si="2"/>
        <v>66</v>
      </c>
      <c r="I14" s="2">
        <v>57</v>
      </c>
      <c r="J14" s="2">
        <v>24</v>
      </c>
      <c r="K14" s="2">
        <v>30</v>
      </c>
      <c r="L14" s="2">
        <v>44</v>
      </c>
      <c r="M14" s="2">
        <v>54</v>
      </c>
      <c r="N14" s="2">
        <v>9</v>
      </c>
      <c r="O14" s="2">
        <f t="shared" si="3"/>
        <v>107</v>
      </c>
      <c r="P14" s="2">
        <v>23</v>
      </c>
      <c r="Q14" s="2">
        <v>2</v>
      </c>
      <c r="R14" s="2">
        <v>2</v>
      </c>
      <c r="S14" s="2">
        <v>3</v>
      </c>
      <c r="T14" s="2">
        <f t="shared" si="4"/>
        <v>45</v>
      </c>
      <c r="U14" s="2">
        <v>0</v>
      </c>
      <c r="V14" s="2">
        <v>9</v>
      </c>
      <c r="W14" s="2">
        <v>1</v>
      </c>
      <c r="X14" s="2">
        <v>0</v>
      </c>
      <c r="Y14" s="2">
        <f t="shared" si="5"/>
        <v>39</v>
      </c>
      <c r="Z14" s="3">
        <v>100</v>
      </c>
      <c r="AA14" s="2">
        <v>30</v>
      </c>
      <c r="AB14" s="4">
        <f t="shared" si="6"/>
        <v>0.52631578947368418</v>
      </c>
      <c r="AC14" s="4">
        <f>(L14+M14)/O14</f>
        <v>0.91588785046728971</v>
      </c>
      <c r="AD14" s="4">
        <f t="shared" si="8"/>
        <v>0.78947368421052633</v>
      </c>
      <c r="AE14" s="4">
        <f t="shared" si="9"/>
        <v>0.59090909090909094</v>
      </c>
    </row>
    <row r="15" spans="1:31" x14ac:dyDescent="0.2">
      <c r="A15" s="2">
        <v>87</v>
      </c>
      <c r="B15" s="2" t="s">
        <v>44</v>
      </c>
      <c r="C15" s="2" t="s">
        <v>41</v>
      </c>
      <c r="D15" s="2">
        <v>10</v>
      </c>
      <c r="E15" s="2">
        <v>10</v>
      </c>
      <c r="F15" s="2">
        <f t="shared" si="0"/>
        <v>20</v>
      </c>
      <c r="G15" s="4">
        <f t="shared" si="1"/>
        <v>0.5</v>
      </c>
      <c r="H15" s="2">
        <f t="shared" si="2"/>
        <v>49</v>
      </c>
      <c r="I15" s="2">
        <v>46</v>
      </c>
      <c r="K15" s="2">
        <v>25</v>
      </c>
      <c r="P15" s="2">
        <v>20</v>
      </c>
      <c r="Q15" s="2">
        <v>2</v>
      </c>
      <c r="R15" s="2">
        <v>0</v>
      </c>
      <c r="S15" s="2">
        <v>3</v>
      </c>
      <c r="T15" s="2">
        <f t="shared" si="4"/>
        <v>36</v>
      </c>
      <c r="U15" s="2">
        <v>0</v>
      </c>
      <c r="V15" s="2">
        <v>3</v>
      </c>
      <c r="Y15" s="2">
        <f t="shared" si="5"/>
        <v>28</v>
      </c>
      <c r="Z15" s="3">
        <v>84</v>
      </c>
      <c r="AA15" s="2">
        <v>9</v>
      </c>
      <c r="AB15" s="4">
        <f t="shared" si="6"/>
        <v>0.54347826086956519</v>
      </c>
      <c r="AD15" s="4">
        <f t="shared" si="8"/>
        <v>0.78260869565217395</v>
      </c>
      <c r="AE15" s="4">
        <f t="shared" si="9"/>
        <v>0.5714285714285714</v>
      </c>
    </row>
    <row r="16" spans="1:31" x14ac:dyDescent="0.2">
      <c r="A16" s="2">
        <v>87</v>
      </c>
      <c r="B16" s="2" t="s">
        <v>45</v>
      </c>
      <c r="C16" s="2" t="s">
        <v>46</v>
      </c>
      <c r="D16" s="2">
        <v>3</v>
      </c>
      <c r="E16" s="2">
        <v>2</v>
      </c>
      <c r="F16" s="2">
        <f t="shared" si="0"/>
        <v>5</v>
      </c>
      <c r="G16" s="4">
        <f t="shared" si="1"/>
        <v>0.6</v>
      </c>
      <c r="H16" s="2">
        <f t="shared" si="2"/>
        <v>17</v>
      </c>
      <c r="I16" s="2">
        <v>17</v>
      </c>
      <c r="J16" s="2">
        <v>9</v>
      </c>
      <c r="K16" s="2">
        <v>10</v>
      </c>
      <c r="L16" s="2">
        <v>5</v>
      </c>
      <c r="M16" s="2">
        <v>5</v>
      </c>
      <c r="N16" s="2">
        <v>3</v>
      </c>
      <c r="O16" s="2">
        <f>L16+M16+N16</f>
        <v>13</v>
      </c>
      <c r="P16" s="2">
        <v>7</v>
      </c>
      <c r="Q16" s="2">
        <v>1</v>
      </c>
      <c r="R16" s="2">
        <v>2</v>
      </c>
      <c r="S16" s="2">
        <v>0</v>
      </c>
      <c r="T16" s="2">
        <f t="shared" si="4"/>
        <v>15</v>
      </c>
      <c r="U16" s="2">
        <v>0</v>
      </c>
      <c r="V16" s="2">
        <v>0</v>
      </c>
      <c r="Y16" s="2">
        <f t="shared" si="5"/>
        <v>10</v>
      </c>
      <c r="Z16" s="3">
        <v>30</v>
      </c>
      <c r="AA16" s="2">
        <v>4</v>
      </c>
      <c r="AB16" s="4">
        <f t="shared" si="6"/>
        <v>0.58823529411764708</v>
      </c>
      <c r="AC16" s="4">
        <f>(L16+M16)/O16</f>
        <v>0.76923076923076927</v>
      </c>
      <c r="AD16" s="4">
        <f t="shared" si="8"/>
        <v>0.88235294117647056</v>
      </c>
      <c r="AE16" s="4">
        <f t="shared" si="9"/>
        <v>0.58823529411764708</v>
      </c>
    </row>
    <row r="17" spans="1:31" x14ac:dyDescent="0.2">
      <c r="A17" s="2">
        <v>87</v>
      </c>
      <c r="B17" s="2" t="s">
        <v>47</v>
      </c>
      <c r="C17" s="2" t="s">
        <v>46</v>
      </c>
      <c r="D17" s="2">
        <v>11</v>
      </c>
      <c r="E17" s="2">
        <v>0</v>
      </c>
      <c r="F17" s="2">
        <f t="shared" si="0"/>
        <v>11</v>
      </c>
      <c r="G17" s="4">
        <f t="shared" si="1"/>
        <v>1</v>
      </c>
      <c r="H17" s="2">
        <f t="shared" si="2"/>
        <v>26</v>
      </c>
      <c r="I17" s="2">
        <v>24</v>
      </c>
      <c r="J17" s="2">
        <v>7</v>
      </c>
      <c r="K17" s="2">
        <v>11</v>
      </c>
      <c r="P17" s="2">
        <v>6</v>
      </c>
      <c r="Q17" s="2">
        <v>1</v>
      </c>
      <c r="R17" s="2">
        <v>3</v>
      </c>
      <c r="S17" s="2">
        <v>1</v>
      </c>
      <c r="T17" s="2">
        <f t="shared" si="4"/>
        <v>21</v>
      </c>
      <c r="U17" s="2">
        <v>0</v>
      </c>
      <c r="V17" s="2">
        <v>2</v>
      </c>
      <c r="Y17" s="2">
        <f t="shared" si="5"/>
        <v>13</v>
      </c>
      <c r="Z17" s="3">
        <v>48</v>
      </c>
      <c r="AA17" s="2">
        <v>14</v>
      </c>
      <c r="AB17" s="4">
        <f t="shared" si="6"/>
        <v>0.45833333333333331</v>
      </c>
      <c r="AD17" s="4">
        <f t="shared" si="8"/>
        <v>0.875</v>
      </c>
      <c r="AE17" s="4">
        <f t="shared" si="9"/>
        <v>0.5</v>
      </c>
    </row>
    <row r="18" spans="1:31" x14ac:dyDescent="0.2">
      <c r="A18" s="2">
        <v>87</v>
      </c>
      <c r="B18" s="2" t="s">
        <v>48</v>
      </c>
      <c r="C18" s="2" t="s">
        <v>46</v>
      </c>
      <c r="D18" s="2">
        <v>10</v>
      </c>
      <c r="E18" s="2">
        <v>6</v>
      </c>
      <c r="F18" s="2">
        <f t="shared" si="0"/>
        <v>16</v>
      </c>
      <c r="G18" s="4">
        <f t="shared" si="1"/>
        <v>0.625</v>
      </c>
      <c r="H18" s="2">
        <f t="shared" si="2"/>
        <v>43</v>
      </c>
      <c r="I18" s="2">
        <v>41</v>
      </c>
      <c r="K18" s="2">
        <v>20</v>
      </c>
      <c r="P18" s="2">
        <v>15</v>
      </c>
      <c r="Q18" s="2">
        <v>1</v>
      </c>
      <c r="R18" s="2">
        <v>3</v>
      </c>
      <c r="S18" s="2">
        <v>1</v>
      </c>
      <c r="T18" s="2">
        <f t="shared" si="4"/>
        <v>30</v>
      </c>
      <c r="U18" s="2">
        <v>0</v>
      </c>
      <c r="V18" s="2">
        <v>2</v>
      </c>
      <c r="Y18" s="2">
        <f t="shared" si="5"/>
        <v>22</v>
      </c>
      <c r="Z18" s="3">
        <v>72</v>
      </c>
      <c r="AA18" s="2">
        <v>10</v>
      </c>
      <c r="AB18" s="4">
        <f t="shared" si="6"/>
        <v>0.48780487804878048</v>
      </c>
      <c r="AD18" s="4">
        <f t="shared" si="8"/>
        <v>0.73170731707317072</v>
      </c>
      <c r="AE18" s="4">
        <f t="shared" si="9"/>
        <v>0.51162790697674421</v>
      </c>
    </row>
    <row r="19" spans="1:31" x14ac:dyDescent="0.2">
      <c r="A19" s="2">
        <v>87</v>
      </c>
      <c r="B19" s="2" t="s">
        <v>49</v>
      </c>
      <c r="C19" s="2" t="s">
        <v>46</v>
      </c>
      <c r="D19" s="2">
        <v>8</v>
      </c>
      <c r="E19" s="2">
        <v>7</v>
      </c>
      <c r="F19" s="2">
        <f t="shared" si="0"/>
        <v>15</v>
      </c>
      <c r="G19" s="4">
        <f t="shared" si="1"/>
        <v>0.53333333333333333</v>
      </c>
      <c r="H19" s="2">
        <f t="shared" si="2"/>
        <v>35</v>
      </c>
      <c r="I19" s="2">
        <v>31</v>
      </c>
      <c r="K19" s="2">
        <v>16</v>
      </c>
      <c r="P19" s="2">
        <v>15</v>
      </c>
      <c r="Q19" s="2">
        <v>0</v>
      </c>
      <c r="R19" s="2">
        <v>0</v>
      </c>
      <c r="S19" s="2">
        <v>1</v>
      </c>
      <c r="T19" s="2">
        <f t="shared" si="4"/>
        <v>19</v>
      </c>
      <c r="U19" s="2">
        <v>0</v>
      </c>
      <c r="V19" s="2">
        <v>4</v>
      </c>
      <c r="Y19" s="2">
        <f t="shared" si="5"/>
        <v>20</v>
      </c>
      <c r="Z19" s="3">
        <v>66</v>
      </c>
      <c r="AA19" s="2">
        <v>5</v>
      </c>
      <c r="AB19" s="4">
        <f t="shared" si="6"/>
        <v>0.5161290322580645</v>
      </c>
      <c r="AD19" s="4">
        <f t="shared" si="8"/>
        <v>0.61290322580645162</v>
      </c>
      <c r="AE19" s="4">
        <f t="shared" si="9"/>
        <v>0.5714285714285714</v>
      </c>
    </row>
    <row r="20" spans="1:31" x14ac:dyDescent="0.2">
      <c r="A20" s="2">
        <v>88</v>
      </c>
      <c r="B20" s="2" t="s">
        <v>50</v>
      </c>
      <c r="C20" s="2" t="s">
        <v>46</v>
      </c>
      <c r="D20" s="2">
        <v>60</v>
      </c>
      <c r="E20" s="2">
        <v>9</v>
      </c>
      <c r="F20" s="2">
        <f t="shared" si="0"/>
        <v>69</v>
      </c>
      <c r="G20" s="4">
        <f t="shared" si="1"/>
        <v>0.86956521739130432</v>
      </c>
      <c r="H20" s="2">
        <f t="shared" si="2"/>
        <v>169</v>
      </c>
      <c r="I20" s="2">
        <v>148</v>
      </c>
      <c r="J20" s="2">
        <v>57</v>
      </c>
      <c r="K20" s="2">
        <v>76</v>
      </c>
      <c r="N20" s="2">
        <v>5</v>
      </c>
      <c r="P20" s="2">
        <v>50</v>
      </c>
      <c r="Q20" s="2">
        <v>10</v>
      </c>
      <c r="R20" s="2">
        <v>13</v>
      </c>
      <c r="S20" s="2">
        <v>3</v>
      </c>
      <c r="T20" s="2">
        <f t="shared" si="4"/>
        <v>121</v>
      </c>
      <c r="U20" s="2">
        <v>6</v>
      </c>
      <c r="V20" s="2">
        <v>15</v>
      </c>
      <c r="Y20" s="2">
        <f t="shared" si="5"/>
        <v>91</v>
      </c>
      <c r="Z20" s="3">
        <v>287</v>
      </c>
      <c r="AA20" s="2">
        <v>60</v>
      </c>
      <c r="AB20" s="4">
        <f t="shared" si="6"/>
        <v>0.51351351351351349</v>
      </c>
      <c r="AD20" s="4">
        <f t="shared" si="8"/>
        <v>0.81756756756756754</v>
      </c>
      <c r="AE20" s="4">
        <f t="shared" si="9"/>
        <v>0.53846153846153844</v>
      </c>
    </row>
    <row r="21" spans="1:31" x14ac:dyDescent="0.2">
      <c r="A21" s="2">
        <v>89</v>
      </c>
      <c r="B21" s="2" t="s">
        <v>50</v>
      </c>
      <c r="C21" s="2" t="s">
        <v>46</v>
      </c>
      <c r="D21" s="2">
        <v>16</v>
      </c>
      <c r="E21" s="2">
        <v>22</v>
      </c>
      <c r="F21" s="2">
        <f t="shared" si="0"/>
        <v>38</v>
      </c>
      <c r="G21" s="4">
        <f t="shared" si="1"/>
        <v>0.42105263157894735</v>
      </c>
      <c r="H21" s="2">
        <f t="shared" si="2"/>
        <v>121</v>
      </c>
      <c r="I21" s="2">
        <v>111</v>
      </c>
      <c r="J21" s="2">
        <v>36</v>
      </c>
      <c r="K21" s="2">
        <v>57</v>
      </c>
      <c r="P21" s="2">
        <v>35</v>
      </c>
      <c r="Q21" s="2">
        <v>3</v>
      </c>
      <c r="R21" s="2">
        <v>17</v>
      </c>
      <c r="S21" s="2">
        <v>2</v>
      </c>
      <c r="T21" s="2">
        <f t="shared" si="4"/>
        <v>100</v>
      </c>
      <c r="U21" s="2">
        <v>3</v>
      </c>
      <c r="V21" s="2">
        <v>7</v>
      </c>
      <c r="Y21" s="2">
        <f t="shared" si="5"/>
        <v>64</v>
      </c>
      <c r="Z21" s="3">
        <v>228</v>
      </c>
      <c r="AA21" s="2">
        <v>45</v>
      </c>
      <c r="AB21" s="4">
        <f t="shared" si="6"/>
        <v>0.51351351351351349</v>
      </c>
      <c r="AD21" s="4">
        <f t="shared" si="8"/>
        <v>0.90090090090090091</v>
      </c>
      <c r="AE21" s="4">
        <f t="shared" si="9"/>
        <v>0.52892561983471076</v>
      </c>
    </row>
    <row r="22" spans="1:31" x14ac:dyDescent="0.2">
      <c r="A22" s="2">
        <v>91</v>
      </c>
      <c r="B22" s="2" t="s">
        <v>51</v>
      </c>
      <c r="C22" s="2" t="s">
        <v>46</v>
      </c>
      <c r="D22" s="2">
        <v>8</v>
      </c>
      <c r="E22" s="2">
        <v>5</v>
      </c>
      <c r="F22" s="2">
        <f t="shared" si="0"/>
        <v>13</v>
      </c>
      <c r="G22" s="4">
        <f t="shared" si="1"/>
        <v>0.61538461538461542</v>
      </c>
      <c r="H22" s="2">
        <f t="shared" si="2"/>
        <v>51</v>
      </c>
      <c r="I22" s="2">
        <v>47</v>
      </c>
      <c r="K22" s="2">
        <v>25</v>
      </c>
      <c r="P22" s="2">
        <v>19</v>
      </c>
      <c r="Q22" s="2">
        <v>1</v>
      </c>
      <c r="R22" s="2">
        <v>2</v>
      </c>
      <c r="S22" s="2">
        <v>3</v>
      </c>
      <c r="T22" s="2">
        <f t="shared" si="4"/>
        <v>39</v>
      </c>
      <c r="U22" s="2">
        <v>3</v>
      </c>
      <c r="V22" s="2">
        <v>1</v>
      </c>
      <c r="X22" s="2">
        <v>3</v>
      </c>
      <c r="Y22" s="2">
        <f t="shared" si="5"/>
        <v>29</v>
      </c>
      <c r="Z22" s="3">
        <v>78</v>
      </c>
      <c r="AA22" s="2">
        <v>13</v>
      </c>
      <c r="AB22" s="4">
        <f t="shared" si="6"/>
        <v>0.53191489361702127</v>
      </c>
      <c r="AD22" s="4">
        <f t="shared" si="8"/>
        <v>0.82978723404255317</v>
      </c>
      <c r="AE22" s="4">
        <f t="shared" si="9"/>
        <v>0.56862745098039214</v>
      </c>
    </row>
    <row r="23" spans="1:31" x14ac:dyDescent="0.2">
      <c r="A23" s="2">
        <v>92</v>
      </c>
      <c r="B23" s="2" t="s">
        <v>51</v>
      </c>
      <c r="C23" s="2" t="s">
        <v>46</v>
      </c>
      <c r="D23" s="2">
        <v>12</v>
      </c>
      <c r="E23" s="2">
        <v>8</v>
      </c>
      <c r="F23" s="2">
        <f t="shared" si="0"/>
        <v>20</v>
      </c>
      <c r="G23" s="4">
        <f t="shared" si="1"/>
        <v>0.6</v>
      </c>
      <c r="H23" s="2">
        <f t="shared" si="2"/>
        <v>59</v>
      </c>
      <c r="I23" s="2">
        <v>49</v>
      </c>
      <c r="J23" s="2">
        <v>17</v>
      </c>
      <c r="K23" s="2">
        <v>23</v>
      </c>
      <c r="P23" s="2">
        <v>20</v>
      </c>
      <c r="Q23" s="2">
        <v>1</v>
      </c>
      <c r="R23" s="2">
        <v>1</v>
      </c>
      <c r="S23" s="2">
        <v>1</v>
      </c>
      <c r="T23" s="2">
        <f t="shared" si="4"/>
        <v>29</v>
      </c>
      <c r="U23" s="2">
        <v>3</v>
      </c>
      <c r="V23" s="2">
        <v>7</v>
      </c>
      <c r="W23" s="2">
        <v>1</v>
      </c>
      <c r="X23" s="2">
        <v>6</v>
      </c>
      <c r="Y23" s="2">
        <f t="shared" si="5"/>
        <v>36</v>
      </c>
      <c r="Z23" s="3">
        <v>100</v>
      </c>
      <c r="AA23" s="2">
        <v>17</v>
      </c>
      <c r="AB23" s="4">
        <f t="shared" si="6"/>
        <v>0.46938775510204084</v>
      </c>
      <c r="AD23" s="4">
        <f t="shared" si="8"/>
        <v>0.59183673469387754</v>
      </c>
      <c r="AE23" s="4">
        <f t="shared" si="9"/>
        <v>0.61016949152542377</v>
      </c>
    </row>
    <row r="24" spans="1:31" x14ac:dyDescent="0.2">
      <c r="A24" s="2">
        <v>93</v>
      </c>
      <c r="B24" s="2" t="s">
        <v>52</v>
      </c>
      <c r="C24" s="2" t="s">
        <v>46</v>
      </c>
      <c r="D24" s="2">
        <v>14</v>
      </c>
      <c r="E24" s="2">
        <v>6</v>
      </c>
      <c r="F24" s="2">
        <f t="shared" si="0"/>
        <v>20</v>
      </c>
      <c r="G24" s="4">
        <f t="shared" si="1"/>
        <v>0.7</v>
      </c>
      <c r="H24" s="2">
        <f t="shared" si="2"/>
        <v>44</v>
      </c>
      <c r="I24" s="2">
        <v>36</v>
      </c>
      <c r="J24" s="2">
        <v>18</v>
      </c>
      <c r="K24" s="2">
        <v>22</v>
      </c>
      <c r="P24" s="2">
        <v>18</v>
      </c>
      <c r="Q24" s="2">
        <v>3</v>
      </c>
      <c r="R24" s="2">
        <v>1</v>
      </c>
      <c r="S24" s="2">
        <v>0</v>
      </c>
      <c r="T24" s="2">
        <f t="shared" si="4"/>
        <v>27</v>
      </c>
      <c r="U24" s="2">
        <v>0</v>
      </c>
      <c r="V24" s="2">
        <v>8</v>
      </c>
      <c r="W24" s="2">
        <v>1</v>
      </c>
      <c r="X24" s="2">
        <v>3</v>
      </c>
      <c r="Y24" s="2">
        <f t="shared" si="5"/>
        <v>33</v>
      </c>
      <c r="Z24" s="3">
        <v>60</v>
      </c>
      <c r="AA24" s="2">
        <v>12</v>
      </c>
      <c r="AB24" s="4">
        <f t="shared" si="6"/>
        <v>0.61111111111111116</v>
      </c>
      <c r="AD24" s="4">
        <f t="shared" si="8"/>
        <v>0.75</v>
      </c>
      <c r="AE24" s="4">
        <f t="shared" si="9"/>
        <v>0.75</v>
      </c>
    </row>
    <row r="25" spans="1:31" x14ac:dyDescent="0.2">
      <c r="A25" s="2">
        <v>93</v>
      </c>
      <c r="B25" s="2" t="s">
        <v>53</v>
      </c>
      <c r="C25" s="2" t="s">
        <v>46</v>
      </c>
      <c r="D25" s="2">
        <v>0</v>
      </c>
      <c r="E25" s="2">
        <v>2</v>
      </c>
      <c r="F25" s="2">
        <f t="shared" si="0"/>
        <v>2</v>
      </c>
      <c r="G25" s="4">
        <f t="shared" si="1"/>
        <v>0</v>
      </c>
      <c r="H25" s="2">
        <f t="shared" si="2"/>
        <v>7</v>
      </c>
      <c r="I25" s="2">
        <v>7</v>
      </c>
      <c r="J25" s="2">
        <v>0</v>
      </c>
      <c r="K25" s="2">
        <v>2</v>
      </c>
      <c r="P25" s="2">
        <v>1</v>
      </c>
      <c r="Q25" s="2">
        <v>1</v>
      </c>
      <c r="R25" s="2">
        <v>0</v>
      </c>
      <c r="S25" s="2">
        <v>0</v>
      </c>
      <c r="T25" s="2">
        <f t="shared" si="4"/>
        <v>3</v>
      </c>
      <c r="U25" s="2">
        <v>0</v>
      </c>
      <c r="V25" s="2">
        <v>0</v>
      </c>
      <c r="W25" s="2">
        <v>0</v>
      </c>
      <c r="X25" s="2">
        <v>0</v>
      </c>
      <c r="Y25" s="2">
        <f t="shared" si="5"/>
        <v>2</v>
      </c>
      <c r="Z25" s="3">
        <v>14</v>
      </c>
      <c r="AA25" s="2">
        <v>2</v>
      </c>
      <c r="AB25" s="4">
        <f t="shared" si="6"/>
        <v>0.2857142857142857</v>
      </c>
      <c r="AD25" s="4">
        <f t="shared" si="8"/>
        <v>0.42857142857142855</v>
      </c>
      <c r="AE25" s="4">
        <f t="shared" si="9"/>
        <v>0.2857142857142857</v>
      </c>
    </row>
    <row r="26" spans="1:31" x14ac:dyDescent="0.2">
      <c r="A26" s="2">
        <v>93</v>
      </c>
      <c r="B26" s="2" t="s">
        <v>54</v>
      </c>
      <c r="C26" s="2" t="s">
        <v>46</v>
      </c>
      <c r="D26" s="2">
        <v>2</v>
      </c>
      <c r="E26" s="2">
        <v>1</v>
      </c>
      <c r="F26" s="2">
        <f t="shared" si="0"/>
        <v>3</v>
      </c>
      <c r="G26" s="4">
        <f t="shared" si="1"/>
        <v>0.66666666666666663</v>
      </c>
      <c r="H26" s="2">
        <f t="shared" si="2"/>
        <v>11</v>
      </c>
      <c r="I26" s="2">
        <v>8</v>
      </c>
      <c r="J26" s="2">
        <v>4</v>
      </c>
      <c r="K26" s="2">
        <v>2</v>
      </c>
      <c r="P26" s="2">
        <v>2</v>
      </c>
      <c r="Q26" s="2">
        <v>0</v>
      </c>
      <c r="R26" s="2">
        <v>0</v>
      </c>
      <c r="S26" s="2">
        <v>0</v>
      </c>
      <c r="T26" s="2">
        <f t="shared" si="4"/>
        <v>2</v>
      </c>
      <c r="U26" s="2">
        <v>0</v>
      </c>
      <c r="V26" s="2">
        <v>3</v>
      </c>
      <c r="W26" s="2">
        <v>0</v>
      </c>
      <c r="X26" s="2">
        <v>1</v>
      </c>
      <c r="Y26" s="2">
        <f t="shared" si="5"/>
        <v>6</v>
      </c>
      <c r="Z26" s="3">
        <v>14</v>
      </c>
      <c r="AA26" s="2">
        <v>1</v>
      </c>
      <c r="AB26" s="4">
        <f t="shared" si="6"/>
        <v>0.25</v>
      </c>
      <c r="AD26" s="4">
        <f t="shared" si="8"/>
        <v>0.25</v>
      </c>
      <c r="AE26" s="4">
        <f t="shared" si="9"/>
        <v>0.54545454545454541</v>
      </c>
    </row>
    <row r="27" spans="1:31" x14ac:dyDescent="0.2">
      <c r="A27" s="2">
        <v>93</v>
      </c>
      <c r="B27" s="2" t="s">
        <v>55</v>
      </c>
      <c r="C27" s="2" t="s">
        <v>46</v>
      </c>
      <c r="D27" s="2"/>
      <c r="E27" s="2"/>
      <c r="F27" s="2"/>
      <c r="G27" s="4"/>
      <c r="H27" s="2">
        <f t="shared" si="2"/>
        <v>17</v>
      </c>
      <c r="I27" s="2">
        <v>14</v>
      </c>
      <c r="J27" s="2">
        <v>7</v>
      </c>
      <c r="K27" s="2">
        <v>6</v>
      </c>
      <c r="P27" s="2">
        <v>3</v>
      </c>
      <c r="Q27" s="2">
        <v>2</v>
      </c>
      <c r="R27" s="2">
        <v>1</v>
      </c>
      <c r="S27" s="2">
        <v>0</v>
      </c>
      <c r="T27" s="2">
        <f t="shared" si="4"/>
        <v>10</v>
      </c>
      <c r="U27" s="2">
        <v>1</v>
      </c>
      <c r="V27" s="2">
        <v>2</v>
      </c>
      <c r="W27" s="2">
        <v>0</v>
      </c>
      <c r="X27" s="2">
        <v>3</v>
      </c>
      <c r="Y27" s="2">
        <f t="shared" si="5"/>
        <v>11</v>
      </c>
      <c r="Z27" s="3">
        <v>28</v>
      </c>
      <c r="AA27" s="2">
        <v>3</v>
      </c>
      <c r="AB27" s="4">
        <f t="shared" si="6"/>
        <v>0.42857142857142855</v>
      </c>
      <c r="AD27" s="4">
        <f t="shared" si="8"/>
        <v>0.7142857142857143</v>
      </c>
      <c r="AE27" s="4">
        <f t="shared" si="9"/>
        <v>0.6470588235294118</v>
      </c>
    </row>
    <row r="28" spans="1:31" x14ac:dyDescent="0.2">
      <c r="A28" s="2">
        <v>94</v>
      </c>
      <c r="B28" s="2" t="s">
        <v>52</v>
      </c>
      <c r="C28" s="2" t="s">
        <v>46</v>
      </c>
      <c r="D28" s="2">
        <v>11</v>
      </c>
      <c r="E28" s="2">
        <v>7</v>
      </c>
      <c r="F28" s="2">
        <f t="shared" ref="F28:F36" si="10">D28+E28</f>
        <v>18</v>
      </c>
      <c r="G28" s="4">
        <f t="shared" ref="G28:G36" si="11">D28/F28</f>
        <v>0.61111111111111116</v>
      </c>
      <c r="H28" s="2">
        <f t="shared" si="2"/>
        <v>54</v>
      </c>
      <c r="I28" s="2">
        <v>44</v>
      </c>
      <c r="J28" s="2">
        <v>14</v>
      </c>
      <c r="K28" s="2">
        <v>18</v>
      </c>
      <c r="P28" s="2">
        <v>12</v>
      </c>
      <c r="Q28" s="2">
        <v>3</v>
      </c>
      <c r="R28" s="2">
        <v>2</v>
      </c>
      <c r="S28" s="2">
        <v>1</v>
      </c>
      <c r="T28" s="2">
        <f t="shared" si="4"/>
        <v>28</v>
      </c>
      <c r="U28" s="2">
        <v>2</v>
      </c>
      <c r="V28" s="2">
        <v>8</v>
      </c>
      <c r="W28" s="2">
        <v>3</v>
      </c>
      <c r="X28" s="2">
        <v>4</v>
      </c>
      <c r="Y28" s="2">
        <f t="shared" si="5"/>
        <v>30</v>
      </c>
      <c r="Z28" s="3">
        <v>78</v>
      </c>
      <c r="AA28" s="2">
        <v>12</v>
      </c>
      <c r="AB28" s="4">
        <f t="shared" si="6"/>
        <v>0.40909090909090912</v>
      </c>
      <c r="AD28" s="4">
        <f t="shared" si="8"/>
        <v>0.63636363636363635</v>
      </c>
      <c r="AE28" s="4">
        <f t="shared" si="9"/>
        <v>0.55555555555555558</v>
      </c>
    </row>
    <row r="29" spans="1:31" x14ac:dyDescent="0.2">
      <c r="A29" s="2">
        <v>94</v>
      </c>
      <c r="B29" s="2" t="s">
        <v>56</v>
      </c>
      <c r="C29" s="2" t="s">
        <v>46</v>
      </c>
      <c r="D29" s="2">
        <v>13</v>
      </c>
      <c r="E29" s="2">
        <v>0</v>
      </c>
      <c r="F29" s="2">
        <f t="shared" si="10"/>
        <v>13</v>
      </c>
      <c r="G29" s="4">
        <f t="shared" si="11"/>
        <v>1</v>
      </c>
      <c r="H29" s="2">
        <f t="shared" si="2"/>
        <v>8</v>
      </c>
      <c r="I29" s="2">
        <v>6</v>
      </c>
      <c r="J29" s="2">
        <v>3</v>
      </c>
      <c r="K29" s="2">
        <v>2</v>
      </c>
      <c r="P29" s="2">
        <v>2</v>
      </c>
      <c r="Q29" s="2">
        <v>0</v>
      </c>
      <c r="R29" s="2">
        <v>0</v>
      </c>
      <c r="S29" s="2">
        <v>0</v>
      </c>
      <c r="T29" s="2">
        <f t="shared" si="4"/>
        <v>2</v>
      </c>
      <c r="U29" s="2">
        <v>0</v>
      </c>
      <c r="V29" s="2">
        <v>2</v>
      </c>
      <c r="W29" s="2">
        <v>0</v>
      </c>
      <c r="X29" s="2">
        <v>2</v>
      </c>
      <c r="Y29" s="2">
        <f t="shared" si="5"/>
        <v>6</v>
      </c>
      <c r="Z29" s="3">
        <v>14</v>
      </c>
      <c r="AA29" s="2">
        <v>1</v>
      </c>
      <c r="AB29" s="4">
        <f t="shared" si="6"/>
        <v>0.33333333333333331</v>
      </c>
      <c r="AD29" s="4">
        <f t="shared" si="8"/>
        <v>0.33333333333333331</v>
      </c>
      <c r="AE29" s="4">
        <f t="shared" si="9"/>
        <v>0.75</v>
      </c>
    </row>
    <row r="30" spans="1:31" x14ac:dyDescent="0.2">
      <c r="A30" s="2">
        <v>94</v>
      </c>
      <c r="B30" s="2" t="s">
        <v>57</v>
      </c>
      <c r="C30" s="2" t="s">
        <v>46</v>
      </c>
      <c r="D30" s="2">
        <v>11</v>
      </c>
      <c r="E30" s="2">
        <v>0</v>
      </c>
      <c r="F30" s="2">
        <f t="shared" si="10"/>
        <v>11</v>
      </c>
      <c r="G30" s="4">
        <f t="shared" si="11"/>
        <v>1</v>
      </c>
      <c r="H30" s="2">
        <f t="shared" si="2"/>
        <v>30</v>
      </c>
      <c r="I30" s="2">
        <v>25</v>
      </c>
      <c r="J30" s="2">
        <v>10</v>
      </c>
      <c r="K30" s="2">
        <v>14</v>
      </c>
      <c r="P30" s="2">
        <v>6</v>
      </c>
      <c r="Q30" s="2">
        <v>4</v>
      </c>
      <c r="R30" s="2">
        <v>0</v>
      </c>
      <c r="S30" s="2">
        <v>4</v>
      </c>
      <c r="T30" s="2">
        <f t="shared" si="4"/>
        <v>30</v>
      </c>
      <c r="U30" s="2">
        <v>2</v>
      </c>
      <c r="V30" s="2">
        <v>3</v>
      </c>
      <c r="W30" s="2">
        <v>0</v>
      </c>
      <c r="X30" s="2">
        <v>1</v>
      </c>
      <c r="Y30" s="2">
        <f t="shared" si="5"/>
        <v>18</v>
      </c>
      <c r="Z30" s="3">
        <v>47</v>
      </c>
      <c r="AA30" s="2">
        <v>15</v>
      </c>
      <c r="AB30" s="4">
        <f t="shared" si="6"/>
        <v>0.56000000000000005</v>
      </c>
      <c r="AD30" s="4">
        <f t="shared" si="8"/>
        <v>1.2</v>
      </c>
      <c r="AE30" s="4">
        <f t="shared" si="9"/>
        <v>0.6</v>
      </c>
    </row>
    <row r="31" spans="1:31" x14ac:dyDescent="0.2">
      <c r="A31" s="2">
        <v>95</v>
      </c>
      <c r="B31" s="2" t="s">
        <v>52</v>
      </c>
      <c r="C31" s="2" t="s">
        <v>38</v>
      </c>
      <c r="D31" s="2">
        <v>18</v>
      </c>
      <c r="E31" s="2">
        <v>3</v>
      </c>
      <c r="F31" s="2">
        <f t="shared" si="10"/>
        <v>21</v>
      </c>
      <c r="G31" s="4">
        <f t="shared" si="11"/>
        <v>0.8571428571428571</v>
      </c>
      <c r="H31" s="2">
        <f t="shared" si="2"/>
        <v>60</v>
      </c>
      <c r="I31" s="2">
        <v>56</v>
      </c>
      <c r="J31" s="2">
        <v>19</v>
      </c>
      <c r="K31" s="2">
        <v>31</v>
      </c>
      <c r="P31" s="2">
        <v>22</v>
      </c>
      <c r="Q31" s="2">
        <v>6</v>
      </c>
      <c r="R31" s="2">
        <v>1</v>
      </c>
      <c r="S31" s="2">
        <v>2</v>
      </c>
      <c r="T31" s="2">
        <f t="shared" si="4"/>
        <v>45</v>
      </c>
      <c r="U31" s="2">
        <v>4</v>
      </c>
      <c r="V31" s="2">
        <v>0</v>
      </c>
      <c r="W31" s="2">
        <v>0</v>
      </c>
      <c r="X31" s="2">
        <v>8</v>
      </c>
      <c r="Y31" s="2">
        <f t="shared" si="5"/>
        <v>39</v>
      </c>
      <c r="AA31" s="2">
        <v>21</v>
      </c>
      <c r="AB31" s="4">
        <f t="shared" si="6"/>
        <v>0.5535714285714286</v>
      </c>
      <c r="AD31" s="4">
        <f t="shared" si="8"/>
        <v>0.8035714285714286</v>
      </c>
      <c r="AE31" s="4">
        <f t="shared" si="9"/>
        <v>0.65</v>
      </c>
    </row>
    <row r="32" spans="1:31" x14ac:dyDescent="0.2">
      <c r="A32" s="2">
        <v>95</v>
      </c>
      <c r="B32" s="2" t="s">
        <v>56</v>
      </c>
      <c r="C32" s="2" t="s">
        <v>38</v>
      </c>
      <c r="D32" s="2">
        <v>12</v>
      </c>
      <c r="E32" s="2">
        <v>1</v>
      </c>
      <c r="F32" s="2">
        <f t="shared" si="10"/>
        <v>13</v>
      </c>
      <c r="G32" s="4">
        <f t="shared" si="11"/>
        <v>0.92307692307692313</v>
      </c>
      <c r="H32" s="2">
        <f t="shared" si="2"/>
        <v>40</v>
      </c>
      <c r="I32" s="2">
        <v>32</v>
      </c>
      <c r="J32" s="2">
        <v>21</v>
      </c>
      <c r="K32" s="2">
        <v>19</v>
      </c>
      <c r="P32" s="2">
        <v>10</v>
      </c>
      <c r="Q32" s="2">
        <v>3</v>
      </c>
      <c r="R32" s="2">
        <v>1</v>
      </c>
      <c r="S32" s="2">
        <v>5</v>
      </c>
      <c r="T32" s="2">
        <f t="shared" si="4"/>
        <v>39</v>
      </c>
      <c r="U32" s="2">
        <v>3</v>
      </c>
      <c r="V32" s="2">
        <v>5</v>
      </c>
      <c r="W32" s="2">
        <v>0</v>
      </c>
      <c r="X32" s="2">
        <v>0</v>
      </c>
      <c r="Y32" s="2">
        <f t="shared" si="5"/>
        <v>24</v>
      </c>
      <c r="AA32" s="2">
        <v>23</v>
      </c>
      <c r="AB32" s="4">
        <f t="shared" si="6"/>
        <v>0.59375</v>
      </c>
      <c r="AD32" s="4">
        <f t="shared" si="8"/>
        <v>1.21875</v>
      </c>
      <c r="AE32" s="4">
        <f t="shared" si="9"/>
        <v>0.6</v>
      </c>
    </row>
    <row r="33" spans="1:61" x14ac:dyDescent="0.2">
      <c r="A33" s="2">
        <v>95</v>
      </c>
      <c r="B33" s="2" t="s">
        <v>58</v>
      </c>
      <c r="C33" s="2" t="s">
        <v>38</v>
      </c>
      <c r="D33" s="2">
        <v>15</v>
      </c>
      <c r="E33" s="2">
        <v>6</v>
      </c>
      <c r="F33" s="2">
        <f t="shared" si="10"/>
        <v>21</v>
      </c>
      <c r="G33" s="4">
        <f t="shared" si="11"/>
        <v>0.7142857142857143</v>
      </c>
      <c r="H33" s="2">
        <f t="shared" si="2"/>
        <v>66</v>
      </c>
      <c r="I33" s="2">
        <v>58</v>
      </c>
      <c r="J33" s="2">
        <v>18</v>
      </c>
      <c r="K33" s="2">
        <v>27</v>
      </c>
      <c r="P33" s="2">
        <v>20</v>
      </c>
      <c r="Q33" s="2">
        <v>6</v>
      </c>
      <c r="R33" s="2">
        <v>1</v>
      </c>
      <c r="S33" s="2">
        <v>0</v>
      </c>
      <c r="T33" s="2">
        <f t="shared" si="4"/>
        <v>35</v>
      </c>
      <c r="U33" s="2">
        <v>1</v>
      </c>
      <c r="V33" s="2">
        <v>7</v>
      </c>
      <c r="W33" s="2">
        <v>0</v>
      </c>
      <c r="X33" s="2">
        <v>5</v>
      </c>
      <c r="Y33" s="2">
        <f t="shared" si="5"/>
        <v>39</v>
      </c>
      <c r="AA33" s="2">
        <v>17</v>
      </c>
      <c r="AB33" s="4">
        <f t="shared" si="6"/>
        <v>0.46551724137931033</v>
      </c>
      <c r="AD33" s="4">
        <f t="shared" si="8"/>
        <v>0.60344827586206895</v>
      </c>
      <c r="AE33" s="4">
        <f t="shared" si="9"/>
        <v>0.59090909090909094</v>
      </c>
    </row>
    <row r="34" spans="1:61" x14ac:dyDescent="0.2">
      <c r="A34" s="2">
        <v>96</v>
      </c>
      <c r="B34" s="2" t="s">
        <v>52</v>
      </c>
      <c r="C34" s="2" t="s">
        <v>38</v>
      </c>
      <c r="D34" s="2">
        <v>17</v>
      </c>
      <c r="E34" s="2">
        <v>5</v>
      </c>
      <c r="F34" s="2">
        <f t="shared" si="10"/>
        <v>22</v>
      </c>
      <c r="G34" s="4">
        <f t="shared" si="11"/>
        <v>0.77272727272727271</v>
      </c>
      <c r="H34" s="2">
        <f t="shared" si="2"/>
        <v>63</v>
      </c>
      <c r="I34" s="2">
        <v>53</v>
      </c>
      <c r="J34" s="2">
        <v>31</v>
      </c>
      <c r="K34" s="2">
        <v>34</v>
      </c>
      <c r="P34" s="2">
        <v>20</v>
      </c>
      <c r="Q34" s="2">
        <v>8</v>
      </c>
      <c r="R34" s="2">
        <v>5</v>
      </c>
      <c r="S34" s="2">
        <v>1</v>
      </c>
      <c r="T34" s="2">
        <f t="shared" si="4"/>
        <v>55</v>
      </c>
      <c r="U34" s="2">
        <v>2</v>
      </c>
      <c r="V34" s="2">
        <v>8</v>
      </c>
      <c r="W34" s="2">
        <v>0</v>
      </c>
      <c r="X34" s="2">
        <v>3</v>
      </c>
      <c r="Y34" s="2">
        <f t="shared" si="5"/>
        <v>45</v>
      </c>
      <c r="AA34" s="2">
        <v>29</v>
      </c>
      <c r="AB34" s="4">
        <f t="shared" si="6"/>
        <v>0.64150943396226412</v>
      </c>
      <c r="AD34" s="4">
        <f t="shared" si="8"/>
        <v>1.0377358490566038</v>
      </c>
      <c r="AE34" s="4">
        <f t="shared" si="9"/>
        <v>0.7142857142857143</v>
      </c>
    </row>
    <row r="35" spans="1:61" x14ac:dyDescent="0.2">
      <c r="A35" s="2">
        <v>96</v>
      </c>
      <c r="B35" s="2" t="s">
        <v>56</v>
      </c>
      <c r="C35" s="2" t="s">
        <v>38</v>
      </c>
      <c r="D35" s="2">
        <v>11</v>
      </c>
      <c r="E35" s="2">
        <v>1</v>
      </c>
      <c r="F35" s="2">
        <f t="shared" si="10"/>
        <v>12</v>
      </c>
      <c r="G35" s="4">
        <f t="shared" si="11"/>
        <v>0.91666666666666663</v>
      </c>
      <c r="H35" s="2">
        <f t="shared" si="2"/>
        <v>30</v>
      </c>
      <c r="I35" s="2">
        <v>26</v>
      </c>
      <c r="J35" s="2">
        <v>13</v>
      </c>
      <c r="K35" s="2">
        <v>15</v>
      </c>
      <c r="P35" s="2">
        <v>13</v>
      </c>
      <c r="Q35" s="2">
        <v>1</v>
      </c>
      <c r="R35" s="2">
        <v>1</v>
      </c>
      <c r="S35" s="2">
        <v>0</v>
      </c>
      <c r="T35" s="2">
        <f t="shared" si="4"/>
        <v>18</v>
      </c>
      <c r="U35" s="2">
        <v>0</v>
      </c>
      <c r="V35" s="2">
        <v>4</v>
      </c>
      <c r="W35" s="2">
        <v>0</v>
      </c>
      <c r="X35" s="2">
        <v>1</v>
      </c>
      <c r="Y35" s="2">
        <f t="shared" si="5"/>
        <v>20</v>
      </c>
      <c r="AA35" s="2">
        <v>5</v>
      </c>
      <c r="AB35" s="4">
        <f t="shared" si="6"/>
        <v>0.57692307692307687</v>
      </c>
      <c r="AD35" s="4">
        <f t="shared" si="8"/>
        <v>0.69230769230769229</v>
      </c>
      <c r="AE35" s="4">
        <f t="shared" si="9"/>
        <v>0.66666666666666663</v>
      </c>
    </row>
    <row r="36" spans="1:61" x14ac:dyDescent="0.2">
      <c r="A36" s="2">
        <v>96</v>
      </c>
      <c r="B36" s="2" t="s">
        <v>57</v>
      </c>
      <c r="C36" s="2" t="s">
        <v>38</v>
      </c>
      <c r="D36" s="2">
        <v>8</v>
      </c>
      <c r="E36" s="2">
        <v>2</v>
      </c>
      <c r="F36" s="2">
        <f t="shared" si="10"/>
        <v>10</v>
      </c>
      <c r="G36" s="4">
        <f t="shared" si="11"/>
        <v>0.8</v>
      </c>
      <c r="H36" s="2">
        <f t="shared" si="2"/>
        <v>31</v>
      </c>
      <c r="I36" s="2">
        <v>30</v>
      </c>
      <c r="J36" s="2">
        <v>13</v>
      </c>
      <c r="K36" s="2">
        <v>15</v>
      </c>
      <c r="P36" s="2">
        <v>8</v>
      </c>
      <c r="Q36" s="2">
        <v>2</v>
      </c>
      <c r="R36" s="2">
        <v>1</v>
      </c>
      <c r="S36" s="2">
        <v>4</v>
      </c>
      <c r="T36" s="2">
        <f t="shared" si="4"/>
        <v>31</v>
      </c>
      <c r="U36" s="2">
        <v>1</v>
      </c>
      <c r="V36" s="2">
        <v>0</v>
      </c>
      <c r="W36" s="2">
        <v>1</v>
      </c>
      <c r="X36" s="2">
        <v>1</v>
      </c>
      <c r="Y36" s="2">
        <f t="shared" si="5"/>
        <v>16</v>
      </c>
      <c r="AA36" s="2">
        <v>19</v>
      </c>
      <c r="AB36" s="4">
        <f t="shared" si="6"/>
        <v>0.5</v>
      </c>
      <c r="AD36" s="4">
        <f t="shared" si="8"/>
        <v>1.0333333333333334</v>
      </c>
      <c r="AE36" s="4">
        <f t="shared" si="9"/>
        <v>0.5161290322580645</v>
      </c>
    </row>
    <row r="37" spans="1:61" x14ac:dyDescent="0.2">
      <c r="A37" s="2"/>
      <c r="B37" s="2"/>
      <c r="C37" s="2"/>
      <c r="D37" s="2"/>
      <c r="E37" s="2"/>
      <c r="F37" s="2"/>
      <c r="G37" s="4"/>
      <c r="H37" s="2"/>
      <c r="AG37" s="2"/>
      <c r="AH37" s="2"/>
      <c r="AI37" s="2"/>
      <c r="AJ37" s="2"/>
      <c r="AK37" s="4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3"/>
      <c r="BE37" s="2"/>
      <c r="BF37" s="1"/>
      <c r="BG37" s="1"/>
      <c r="BH37" s="1"/>
      <c r="BI37" s="1"/>
    </row>
    <row r="38" spans="1:61" x14ac:dyDescent="0.2">
      <c r="A38" t="s">
        <v>59</v>
      </c>
      <c r="B38" s="2" t="s">
        <v>60</v>
      </c>
      <c r="C38" s="2" t="s">
        <v>38</v>
      </c>
      <c r="D38" s="2">
        <f>SUM(D5:D36)</f>
        <v>461</v>
      </c>
      <c r="E38" s="2">
        <f>SUM(E5:E36)</f>
        <v>240</v>
      </c>
      <c r="F38" s="2">
        <f>SUM(F5:F36)</f>
        <v>701</v>
      </c>
      <c r="G38" s="4">
        <f>D38/F38</f>
        <v>0.65763195435092725</v>
      </c>
      <c r="H38" s="2">
        <f t="shared" ref="H38:AA38" si="12">SUM(H5:H36)</f>
        <v>2161</v>
      </c>
      <c r="I38" s="2">
        <f t="shared" si="12"/>
        <v>1943</v>
      </c>
      <c r="J38" s="2">
        <f t="shared" si="12"/>
        <v>629</v>
      </c>
      <c r="K38" s="2">
        <f t="shared" si="12"/>
        <v>991</v>
      </c>
      <c r="L38" s="2">
        <f t="shared" si="12"/>
        <v>492</v>
      </c>
      <c r="M38" s="2">
        <f t="shared" si="12"/>
        <v>151</v>
      </c>
      <c r="N38" s="2">
        <f t="shared" si="12"/>
        <v>65</v>
      </c>
      <c r="O38" s="2">
        <f t="shared" si="12"/>
        <v>703</v>
      </c>
      <c r="P38" s="2">
        <f t="shared" si="12"/>
        <v>675</v>
      </c>
      <c r="Q38" s="2">
        <f t="shared" si="12"/>
        <v>147</v>
      </c>
      <c r="R38" s="2">
        <f t="shared" si="12"/>
        <v>86</v>
      </c>
      <c r="S38" s="2">
        <f t="shared" si="12"/>
        <v>87</v>
      </c>
      <c r="T38" s="2">
        <f t="shared" si="12"/>
        <v>1575</v>
      </c>
      <c r="U38" s="2">
        <f t="shared" si="12"/>
        <v>50</v>
      </c>
      <c r="V38" s="2">
        <f t="shared" si="12"/>
        <v>168</v>
      </c>
      <c r="W38" s="2">
        <f t="shared" si="12"/>
        <v>12</v>
      </c>
      <c r="X38" s="2">
        <f t="shared" si="12"/>
        <v>106</v>
      </c>
      <c r="Y38" s="2">
        <f t="shared" si="12"/>
        <v>1265</v>
      </c>
      <c r="Z38" s="2">
        <f t="shared" si="12"/>
        <v>3156</v>
      </c>
      <c r="AA38" s="2">
        <f t="shared" si="12"/>
        <v>666</v>
      </c>
      <c r="AB38" s="4">
        <f>K38/I38</f>
        <v>0.51003602676273807</v>
      </c>
      <c r="AC38" s="4">
        <f>(L38+M38)/O38</f>
        <v>0.914651493598862</v>
      </c>
      <c r="AD38" s="4">
        <f>T38/I38</f>
        <v>0.81060216160576426</v>
      </c>
      <c r="AE38" s="4">
        <f>Y38/H38</f>
        <v>0.58537714021286447</v>
      </c>
    </row>
    <row r="41" spans="1:61" x14ac:dyDescent="0.2">
      <c r="F41" t="s">
        <v>1</v>
      </c>
      <c r="G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 s="2"/>
      <c r="AC41" s="2"/>
      <c r="AD41" s="2"/>
      <c r="AE41" s="2"/>
    </row>
    <row r="42" spans="1:61" x14ac:dyDescent="0.2">
      <c r="G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 s="2"/>
      <c r="AC42" s="2"/>
      <c r="AD42" s="2"/>
      <c r="AE42" s="2"/>
    </row>
    <row r="43" spans="1:61" x14ac:dyDescent="0.2">
      <c r="C43" s="2" t="s">
        <v>2</v>
      </c>
      <c r="D43" s="2" t="s">
        <v>5</v>
      </c>
      <c r="E43" s="2" t="s">
        <v>6</v>
      </c>
      <c r="F43" s="2" t="s">
        <v>7</v>
      </c>
      <c r="G43" s="4" t="s">
        <v>8</v>
      </c>
      <c r="H43" s="2" t="s">
        <v>9</v>
      </c>
      <c r="I43" s="2" t="s">
        <v>10</v>
      </c>
      <c r="J43" s="2" t="s">
        <v>11</v>
      </c>
      <c r="K43" s="2" t="s">
        <v>12</v>
      </c>
      <c r="L43" s="2" t="s">
        <v>13</v>
      </c>
      <c r="M43" s="2" t="s">
        <v>14</v>
      </c>
      <c r="N43" s="2" t="s">
        <v>15</v>
      </c>
      <c r="O43" s="2" t="s">
        <v>16</v>
      </c>
      <c r="P43" s="2" t="s">
        <v>17</v>
      </c>
      <c r="Q43" s="2" t="s">
        <v>18</v>
      </c>
      <c r="R43" s="2" t="s">
        <v>19</v>
      </c>
      <c r="S43" s="2" t="s">
        <v>20</v>
      </c>
      <c r="T43" s="2" t="s">
        <v>21</v>
      </c>
      <c r="U43" s="2" t="s">
        <v>22</v>
      </c>
      <c r="V43" s="2" t="s">
        <v>23</v>
      </c>
      <c r="W43" s="2" t="s">
        <v>24</v>
      </c>
      <c r="X43" s="2" t="s">
        <v>25</v>
      </c>
      <c r="Y43" s="2" t="s">
        <v>26</v>
      </c>
      <c r="Z43" s="3" t="s">
        <v>27</v>
      </c>
      <c r="AA43" s="2" t="s">
        <v>28</v>
      </c>
      <c r="AB43" s="4" t="s">
        <v>29</v>
      </c>
      <c r="AC43" s="4" t="s">
        <v>30</v>
      </c>
      <c r="AD43" s="4" t="s">
        <v>31</v>
      </c>
      <c r="AE43" s="4" t="s">
        <v>32</v>
      </c>
    </row>
    <row r="44" spans="1:61" x14ac:dyDescent="0.2">
      <c r="C44" s="2">
        <v>74</v>
      </c>
      <c r="D44" s="2">
        <f t="shared" ref="D44:AE44" si="13">D5</f>
        <v>14</v>
      </c>
      <c r="E44" s="2">
        <f t="shared" si="13"/>
        <v>16</v>
      </c>
      <c r="F44" s="2">
        <f t="shared" si="13"/>
        <v>30</v>
      </c>
      <c r="G44" s="4">
        <f t="shared" si="13"/>
        <v>0.46666666666666667</v>
      </c>
      <c r="H44" s="2">
        <f t="shared" si="13"/>
        <v>115</v>
      </c>
      <c r="I44" s="2">
        <f t="shared" si="13"/>
        <v>108</v>
      </c>
      <c r="J44" s="2">
        <f t="shared" si="13"/>
        <v>41</v>
      </c>
      <c r="K44" s="2">
        <f t="shared" si="13"/>
        <v>46</v>
      </c>
      <c r="L44" s="2">
        <f t="shared" si="13"/>
        <v>78</v>
      </c>
      <c r="M44" s="2">
        <f t="shared" si="13"/>
        <v>12</v>
      </c>
      <c r="N44" s="2">
        <f t="shared" si="13"/>
        <v>7</v>
      </c>
      <c r="O44" s="2">
        <f t="shared" si="13"/>
        <v>97</v>
      </c>
      <c r="P44" s="2">
        <f t="shared" si="13"/>
        <v>29</v>
      </c>
      <c r="Q44" s="2">
        <f t="shared" si="13"/>
        <v>11</v>
      </c>
      <c r="R44" s="2">
        <f t="shared" si="13"/>
        <v>0</v>
      </c>
      <c r="S44" s="2">
        <f t="shared" si="13"/>
        <v>6</v>
      </c>
      <c r="T44" s="2">
        <f t="shared" si="13"/>
        <v>75</v>
      </c>
      <c r="U44" s="2">
        <f t="shared" si="13"/>
        <v>4</v>
      </c>
      <c r="V44" s="2">
        <f t="shared" si="13"/>
        <v>3</v>
      </c>
      <c r="W44" s="2">
        <f t="shared" si="13"/>
        <v>1</v>
      </c>
      <c r="X44" s="2">
        <f t="shared" si="13"/>
        <v>12</v>
      </c>
      <c r="Y44" s="2">
        <f t="shared" si="13"/>
        <v>61</v>
      </c>
      <c r="Z44" s="2">
        <f t="shared" si="13"/>
        <v>207</v>
      </c>
      <c r="AA44" s="2">
        <f t="shared" si="13"/>
        <v>31</v>
      </c>
      <c r="AB44" s="4">
        <f t="shared" si="13"/>
        <v>0.42592592592592593</v>
      </c>
      <c r="AC44" s="4">
        <f t="shared" si="13"/>
        <v>0.92783505154639179</v>
      </c>
      <c r="AD44" s="4">
        <f t="shared" si="13"/>
        <v>0.69444444444444442</v>
      </c>
      <c r="AE44" s="4">
        <f t="shared" si="13"/>
        <v>0.5304347826086957</v>
      </c>
    </row>
    <row r="45" spans="1:61" x14ac:dyDescent="0.2">
      <c r="C45" s="2">
        <v>75</v>
      </c>
      <c r="D45" s="2">
        <f t="shared" ref="D45:D75" si="14">D44+D6</f>
        <v>29</v>
      </c>
      <c r="E45" s="2">
        <f t="shared" ref="E45:E75" si="15">E44+E6</f>
        <v>28</v>
      </c>
      <c r="F45" s="2">
        <f t="shared" ref="F45:F75" si="16">F44+F6</f>
        <v>57</v>
      </c>
      <c r="G45" s="4">
        <f t="shared" ref="G45:G75" si="17">D45/F45</f>
        <v>0.50877192982456143</v>
      </c>
      <c r="H45" s="2">
        <f t="shared" ref="H45:H75" si="18">H44+H6</f>
        <v>219</v>
      </c>
      <c r="I45" s="2">
        <f t="shared" ref="I45:I75" si="19">I44+I6</f>
        <v>207</v>
      </c>
      <c r="J45" s="2">
        <f t="shared" ref="J45:J75" si="20">J44+J6</f>
        <v>68</v>
      </c>
      <c r="K45" s="2">
        <f t="shared" ref="K45:K75" si="21">K44+K6</f>
        <v>92</v>
      </c>
      <c r="L45" s="2">
        <f t="shared" ref="L45:L75" si="22">L44+L6</f>
        <v>122</v>
      </c>
      <c r="M45" s="2">
        <f t="shared" ref="M45:M75" si="23">M44+M6</f>
        <v>34</v>
      </c>
      <c r="N45" s="2">
        <f t="shared" ref="N45:N75" si="24">N44+N6</f>
        <v>13</v>
      </c>
      <c r="O45" s="2">
        <f t="shared" ref="O45:O75" si="25">O44+O6</f>
        <v>169</v>
      </c>
      <c r="P45" s="2">
        <f t="shared" ref="P45:P75" si="26">P44+P6</f>
        <v>67</v>
      </c>
      <c r="Q45" s="2">
        <f t="shared" ref="Q45:Q75" si="27">Q44+Q6</f>
        <v>18</v>
      </c>
      <c r="R45" s="2">
        <f t="shared" ref="R45:R75" si="28">R44+R6</f>
        <v>1</v>
      </c>
      <c r="S45" s="2">
        <f t="shared" ref="S45:S75" si="29">S44+S6</f>
        <v>6</v>
      </c>
      <c r="T45" s="2">
        <f t="shared" ref="T45:T75" si="30">T44+T6</f>
        <v>130</v>
      </c>
      <c r="U45" s="2">
        <f t="shared" ref="U45:U75" si="31">U44+U6</f>
        <v>6</v>
      </c>
      <c r="V45" s="2">
        <f t="shared" ref="V45:V75" si="32">V44+V6</f>
        <v>6</v>
      </c>
      <c r="W45" s="2">
        <f t="shared" ref="W45:W75" si="33">W44+W6</f>
        <v>1</v>
      </c>
      <c r="X45" s="2">
        <f t="shared" ref="X45:X75" si="34">X44+X6</f>
        <v>24</v>
      </c>
      <c r="Y45" s="2">
        <f t="shared" ref="Y45:Y75" si="35">Y44+Y6</f>
        <v>122</v>
      </c>
      <c r="Z45" s="3">
        <f t="shared" ref="Z45:Z75" si="36">Z44+Z6</f>
        <v>392.5</v>
      </c>
      <c r="AA45" s="2">
        <f t="shared" ref="AA45:AA75" si="37">AA44+AA6</f>
        <v>48</v>
      </c>
      <c r="AB45" s="4">
        <f t="shared" ref="AB45:AB75" si="38">K45/I45</f>
        <v>0.44444444444444442</v>
      </c>
      <c r="AC45" s="4">
        <f t="shared" ref="AC45:AC75" si="39">(L45+M45)/O45</f>
        <v>0.92307692307692313</v>
      </c>
      <c r="AD45" s="4">
        <f t="shared" ref="AD45:AD75" si="40">T45/I45</f>
        <v>0.6280193236714976</v>
      </c>
      <c r="AE45" s="4">
        <f t="shared" ref="AE45:AE75" si="41">Y45/H45</f>
        <v>0.55707762557077622</v>
      </c>
    </row>
    <row r="46" spans="1:61" x14ac:dyDescent="0.2">
      <c r="C46" s="2">
        <v>75</v>
      </c>
      <c r="D46" s="2">
        <f t="shared" si="14"/>
        <v>40</v>
      </c>
      <c r="E46" s="2">
        <f t="shared" si="15"/>
        <v>43</v>
      </c>
      <c r="F46" s="2">
        <f t="shared" si="16"/>
        <v>83</v>
      </c>
      <c r="G46" s="4">
        <f t="shared" si="17"/>
        <v>0.48192771084337349</v>
      </c>
      <c r="H46" s="2">
        <f t="shared" si="18"/>
        <v>329</v>
      </c>
      <c r="I46" s="2">
        <f t="shared" si="19"/>
        <v>308</v>
      </c>
      <c r="J46" s="2">
        <f t="shared" si="20"/>
        <v>95</v>
      </c>
      <c r="K46" s="2">
        <f t="shared" si="21"/>
        <v>146</v>
      </c>
      <c r="L46" s="2">
        <f t="shared" si="22"/>
        <v>191</v>
      </c>
      <c r="M46" s="2">
        <f t="shared" si="23"/>
        <v>55</v>
      </c>
      <c r="N46" s="2">
        <f t="shared" si="24"/>
        <v>22</v>
      </c>
      <c r="O46" s="2">
        <f t="shared" si="25"/>
        <v>268</v>
      </c>
      <c r="P46" s="2">
        <f t="shared" si="26"/>
        <v>106</v>
      </c>
      <c r="Q46" s="2">
        <f t="shared" si="27"/>
        <v>22</v>
      </c>
      <c r="R46" s="2">
        <f t="shared" si="28"/>
        <v>5</v>
      </c>
      <c r="S46" s="2">
        <f t="shared" si="29"/>
        <v>13</v>
      </c>
      <c r="T46" s="2">
        <f t="shared" si="30"/>
        <v>217</v>
      </c>
      <c r="U46" s="2">
        <f t="shared" si="31"/>
        <v>11</v>
      </c>
      <c r="V46" s="2">
        <f t="shared" si="32"/>
        <v>10</v>
      </c>
      <c r="W46" s="2">
        <f t="shared" si="33"/>
        <v>2</v>
      </c>
      <c r="X46" s="2">
        <f t="shared" si="34"/>
        <v>31</v>
      </c>
      <c r="Y46" s="2">
        <f t="shared" si="35"/>
        <v>187</v>
      </c>
      <c r="Z46" s="3">
        <f t="shared" si="36"/>
        <v>602</v>
      </c>
      <c r="AA46" s="2">
        <f t="shared" si="37"/>
        <v>82</v>
      </c>
      <c r="AB46" s="4">
        <f t="shared" si="38"/>
        <v>0.47402597402597402</v>
      </c>
      <c r="AC46" s="4">
        <f t="shared" si="39"/>
        <v>0.91791044776119401</v>
      </c>
      <c r="AD46" s="4">
        <f t="shared" si="40"/>
        <v>0.70454545454545459</v>
      </c>
      <c r="AE46" s="4">
        <f t="shared" si="41"/>
        <v>0.56838905775075987</v>
      </c>
    </row>
    <row r="47" spans="1:61" x14ac:dyDescent="0.2">
      <c r="C47" s="2">
        <v>76</v>
      </c>
      <c r="D47" s="2">
        <f t="shared" si="14"/>
        <v>66</v>
      </c>
      <c r="E47" s="2">
        <f t="shared" si="15"/>
        <v>59</v>
      </c>
      <c r="F47" s="2">
        <f t="shared" si="16"/>
        <v>125</v>
      </c>
      <c r="G47" s="4">
        <f t="shared" si="17"/>
        <v>0.52800000000000002</v>
      </c>
      <c r="H47" s="2">
        <f t="shared" si="18"/>
        <v>476</v>
      </c>
      <c r="I47" s="2">
        <f t="shared" si="19"/>
        <v>437</v>
      </c>
      <c r="J47" s="2">
        <f t="shared" si="20"/>
        <v>155</v>
      </c>
      <c r="K47" s="2">
        <f t="shared" si="21"/>
        <v>212</v>
      </c>
      <c r="L47" s="2">
        <f t="shared" si="22"/>
        <v>258</v>
      </c>
      <c r="M47" s="2">
        <f t="shared" si="23"/>
        <v>63</v>
      </c>
      <c r="N47" s="2">
        <f t="shared" si="24"/>
        <v>32</v>
      </c>
      <c r="O47" s="2">
        <f t="shared" si="25"/>
        <v>353</v>
      </c>
      <c r="P47" s="2">
        <f t="shared" si="26"/>
        <v>159</v>
      </c>
      <c r="Q47" s="2">
        <f t="shared" si="27"/>
        <v>29</v>
      </c>
      <c r="R47" s="2">
        <f t="shared" si="28"/>
        <v>7</v>
      </c>
      <c r="S47" s="2">
        <f t="shared" si="29"/>
        <v>17</v>
      </c>
      <c r="T47" s="2">
        <f t="shared" si="30"/>
        <v>306</v>
      </c>
      <c r="U47" s="2">
        <f t="shared" si="31"/>
        <v>11</v>
      </c>
      <c r="V47" s="2">
        <f t="shared" si="32"/>
        <v>28</v>
      </c>
      <c r="W47" s="2">
        <f t="shared" si="33"/>
        <v>4</v>
      </c>
      <c r="X47" s="2">
        <f t="shared" si="34"/>
        <v>44</v>
      </c>
      <c r="Y47" s="2">
        <f t="shared" si="35"/>
        <v>284</v>
      </c>
      <c r="Z47" s="2">
        <f t="shared" si="36"/>
        <v>841</v>
      </c>
      <c r="AA47" s="2">
        <f t="shared" si="37"/>
        <v>113</v>
      </c>
      <c r="AB47" s="4">
        <f t="shared" si="38"/>
        <v>0.48512585812356979</v>
      </c>
      <c r="AC47" s="4">
        <f t="shared" si="39"/>
        <v>0.90934844192634556</v>
      </c>
      <c r="AD47" s="4">
        <f t="shared" si="40"/>
        <v>0.70022883295194505</v>
      </c>
      <c r="AE47" s="4">
        <f t="shared" si="41"/>
        <v>0.59663865546218486</v>
      </c>
    </row>
    <row r="48" spans="1:61" x14ac:dyDescent="0.2">
      <c r="C48" s="2">
        <v>77</v>
      </c>
      <c r="D48" s="2">
        <f t="shared" si="14"/>
        <v>93</v>
      </c>
      <c r="E48" s="2">
        <f t="shared" si="15"/>
        <v>76</v>
      </c>
      <c r="F48" s="2">
        <f t="shared" si="16"/>
        <v>169</v>
      </c>
      <c r="G48" s="4">
        <f t="shared" si="17"/>
        <v>0.55029585798816572</v>
      </c>
      <c r="H48" s="2">
        <f t="shared" si="18"/>
        <v>625</v>
      </c>
      <c r="I48" s="2">
        <f t="shared" si="19"/>
        <v>584</v>
      </c>
      <c r="J48" s="2">
        <f t="shared" si="20"/>
        <v>213</v>
      </c>
      <c r="K48" s="2">
        <f t="shared" si="21"/>
        <v>287</v>
      </c>
      <c r="L48" s="2">
        <f t="shared" si="22"/>
        <v>327</v>
      </c>
      <c r="M48" s="2">
        <f t="shared" si="23"/>
        <v>88</v>
      </c>
      <c r="N48" s="2">
        <f t="shared" si="24"/>
        <v>41</v>
      </c>
      <c r="O48" s="2">
        <f t="shared" si="25"/>
        <v>456</v>
      </c>
      <c r="P48" s="2">
        <f t="shared" si="26"/>
        <v>199</v>
      </c>
      <c r="Q48" s="2">
        <f t="shared" si="27"/>
        <v>49</v>
      </c>
      <c r="R48" s="2">
        <f t="shared" si="28"/>
        <v>11</v>
      </c>
      <c r="S48" s="2">
        <f t="shared" si="29"/>
        <v>28</v>
      </c>
      <c r="T48" s="2">
        <f t="shared" si="30"/>
        <v>442</v>
      </c>
      <c r="U48" s="2">
        <f t="shared" si="31"/>
        <v>11</v>
      </c>
      <c r="V48" s="2">
        <f t="shared" si="32"/>
        <v>30</v>
      </c>
      <c r="W48" s="2">
        <f t="shared" si="33"/>
        <v>4</v>
      </c>
      <c r="X48" s="2">
        <f t="shared" si="34"/>
        <v>54</v>
      </c>
      <c r="Y48" s="2">
        <f t="shared" si="35"/>
        <v>371</v>
      </c>
      <c r="Z48" s="2">
        <f t="shared" si="36"/>
        <v>1081.5</v>
      </c>
      <c r="AA48" s="2">
        <f t="shared" si="37"/>
        <v>154</v>
      </c>
      <c r="AB48" s="4">
        <f t="shared" si="38"/>
        <v>0.49143835616438358</v>
      </c>
      <c r="AC48" s="4">
        <f t="shared" si="39"/>
        <v>0.91008771929824561</v>
      </c>
      <c r="AD48" s="4">
        <f t="shared" si="40"/>
        <v>0.75684931506849318</v>
      </c>
      <c r="AE48" s="4">
        <f t="shared" si="41"/>
        <v>0.59360000000000002</v>
      </c>
    </row>
    <row r="49" spans="3:31" x14ac:dyDescent="0.2">
      <c r="C49" s="2">
        <v>78</v>
      </c>
      <c r="D49" s="2">
        <f t="shared" si="14"/>
        <v>124</v>
      </c>
      <c r="E49" s="2">
        <f t="shared" si="15"/>
        <v>96</v>
      </c>
      <c r="F49" s="2">
        <f t="shared" si="16"/>
        <v>220</v>
      </c>
      <c r="G49" s="4">
        <f t="shared" si="17"/>
        <v>0.5636363636363636</v>
      </c>
      <c r="H49" s="2">
        <f t="shared" si="18"/>
        <v>805</v>
      </c>
      <c r="I49" s="2">
        <f t="shared" si="19"/>
        <v>750</v>
      </c>
      <c r="J49" s="2">
        <f t="shared" si="20"/>
        <v>286</v>
      </c>
      <c r="K49" s="2">
        <f t="shared" si="21"/>
        <v>382</v>
      </c>
      <c r="L49" s="2">
        <f t="shared" si="22"/>
        <v>443</v>
      </c>
      <c r="M49" s="2">
        <f t="shared" si="23"/>
        <v>92</v>
      </c>
      <c r="N49" s="2">
        <f t="shared" si="24"/>
        <v>45</v>
      </c>
      <c r="O49" s="2">
        <f t="shared" si="25"/>
        <v>580</v>
      </c>
      <c r="P49" s="2">
        <f t="shared" si="26"/>
        <v>258</v>
      </c>
      <c r="Q49" s="2">
        <f t="shared" si="27"/>
        <v>74</v>
      </c>
      <c r="R49" s="2">
        <f t="shared" si="28"/>
        <v>14</v>
      </c>
      <c r="S49" s="2">
        <f t="shared" si="29"/>
        <v>36</v>
      </c>
      <c r="T49" s="2">
        <f t="shared" si="30"/>
        <v>592</v>
      </c>
      <c r="U49" s="2">
        <f t="shared" si="31"/>
        <v>17</v>
      </c>
      <c r="V49" s="2">
        <f t="shared" si="32"/>
        <v>38</v>
      </c>
      <c r="W49" s="2">
        <f t="shared" si="33"/>
        <v>5</v>
      </c>
      <c r="X49" s="2">
        <f t="shared" si="34"/>
        <v>65</v>
      </c>
      <c r="Y49" s="2">
        <f t="shared" si="35"/>
        <v>485</v>
      </c>
      <c r="Z49" s="2">
        <f t="shared" si="36"/>
        <v>1383</v>
      </c>
      <c r="AA49" s="2">
        <f t="shared" si="37"/>
        <v>210</v>
      </c>
      <c r="AB49" s="4">
        <f t="shared" si="38"/>
        <v>0.5093333333333333</v>
      </c>
      <c r="AC49" s="4">
        <f t="shared" si="39"/>
        <v>0.92241379310344829</v>
      </c>
      <c r="AD49" s="4">
        <f t="shared" si="40"/>
        <v>0.78933333333333333</v>
      </c>
      <c r="AE49" s="4">
        <f t="shared" si="41"/>
        <v>0.60248447204968947</v>
      </c>
    </row>
    <row r="50" spans="3:31" x14ac:dyDescent="0.2">
      <c r="C50" s="2">
        <v>80</v>
      </c>
      <c r="D50" s="2">
        <f t="shared" si="14"/>
        <v>132</v>
      </c>
      <c r="E50" s="2">
        <f t="shared" si="15"/>
        <v>103</v>
      </c>
      <c r="F50" s="2">
        <f t="shared" si="16"/>
        <v>235</v>
      </c>
      <c r="G50" s="4">
        <f t="shared" si="17"/>
        <v>0.5617021276595745</v>
      </c>
      <c r="H50" s="2">
        <f t="shared" si="18"/>
        <v>855</v>
      </c>
      <c r="I50" s="2">
        <f t="shared" si="19"/>
        <v>797</v>
      </c>
      <c r="J50" s="2">
        <f t="shared" si="20"/>
        <v>291</v>
      </c>
      <c r="K50" s="2">
        <f t="shared" si="21"/>
        <v>404</v>
      </c>
      <c r="L50" s="2">
        <f t="shared" si="22"/>
        <v>443</v>
      </c>
      <c r="M50" s="2">
        <f t="shared" si="23"/>
        <v>92</v>
      </c>
      <c r="N50" s="2">
        <f t="shared" si="24"/>
        <v>45</v>
      </c>
      <c r="O50" s="2">
        <f t="shared" si="25"/>
        <v>580</v>
      </c>
      <c r="P50" s="2">
        <f t="shared" si="26"/>
        <v>273</v>
      </c>
      <c r="Q50" s="2">
        <f t="shared" si="27"/>
        <v>77</v>
      </c>
      <c r="R50" s="2">
        <f t="shared" si="28"/>
        <v>17</v>
      </c>
      <c r="S50" s="2">
        <f t="shared" si="29"/>
        <v>41</v>
      </c>
      <c r="T50" s="2">
        <f t="shared" si="30"/>
        <v>642</v>
      </c>
      <c r="U50" s="2">
        <f t="shared" si="31"/>
        <v>17</v>
      </c>
      <c r="V50" s="2">
        <f t="shared" si="32"/>
        <v>41</v>
      </c>
      <c r="W50" s="2">
        <f t="shared" si="33"/>
        <v>5</v>
      </c>
      <c r="X50" s="2">
        <f t="shared" si="34"/>
        <v>65</v>
      </c>
      <c r="Y50" s="2">
        <f t="shared" si="35"/>
        <v>510</v>
      </c>
      <c r="Z50" s="2">
        <f t="shared" si="36"/>
        <v>1458</v>
      </c>
      <c r="AA50" s="2">
        <f t="shared" si="37"/>
        <v>231</v>
      </c>
      <c r="AB50" s="4">
        <f t="shared" si="38"/>
        <v>0.50690087829360098</v>
      </c>
      <c r="AC50" s="4">
        <f t="shared" si="39"/>
        <v>0.92241379310344829</v>
      </c>
      <c r="AD50" s="4">
        <f t="shared" si="40"/>
        <v>0.80552070263488085</v>
      </c>
      <c r="AE50" s="4">
        <f t="shared" si="41"/>
        <v>0.59649122807017541</v>
      </c>
    </row>
    <row r="51" spans="3:31" x14ac:dyDescent="0.2">
      <c r="C51" s="2">
        <v>81</v>
      </c>
      <c r="D51" s="2">
        <f t="shared" si="14"/>
        <v>138</v>
      </c>
      <c r="E51" s="2">
        <f t="shared" si="15"/>
        <v>109</v>
      </c>
      <c r="F51" s="2">
        <f t="shared" si="16"/>
        <v>247</v>
      </c>
      <c r="G51" s="4">
        <f t="shared" si="17"/>
        <v>0.5587044534412956</v>
      </c>
      <c r="H51" s="2">
        <f t="shared" si="18"/>
        <v>889</v>
      </c>
      <c r="I51" s="2">
        <f t="shared" si="19"/>
        <v>829</v>
      </c>
      <c r="J51" s="2">
        <f t="shared" si="20"/>
        <v>299</v>
      </c>
      <c r="K51" s="2">
        <f t="shared" si="21"/>
        <v>420</v>
      </c>
      <c r="L51" s="2">
        <f t="shared" si="22"/>
        <v>443</v>
      </c>
      <c r="M51" s="2">
        <f t="shared" si="23"/>
        <v>92</v>
      </c>
      <c r="N51" s="2">
        <f t="shared" si="24"/>
        <v>45</v>
      </c>
      <c r="O51" s="2">
        <f t="shared" si="25"/>
        <v>580</v>
      </c>
      <c r="P51" s="2">
        <f t="shared" si="26"/>
        <v>281</v>
      </c>
      <c r="Q51" s="2">
        <f t="shared" si="27"/>
        <v>81</v>
      </c>
      <c r="R51" s="2">
        <f t="shared" si="28"/>
        <v>19</v>
      </c>
      <c r="S51" s="2">
        <f t="shared" si="29"/>
        <v>43</v>
      </c>
      <c r="T51" s="2">
        <f t="shared" si="30"/>
        <v>672</v>
      </c>
      <c r="U51" s="2">
        <f t="shared" si="31"/>
        <v>19</v>
      </c>
      <c r="V51" s="2">
        <f t="shared" si="32"/>
        <v>41</v>
      </c>
      <c r="W51" s="2">
        <f t="shared" si="33"/>
        <v>5</v>
      </c>
      <c r="X51" s="2">
        <f t="shared" si="34"/>
        <v>65</v>
      </c>
      <c r="Y51" s="2">
        <f t="shared" si="35"/>
        <v>526</v>
      </c>
      <c r="Z51" s="2">
        <f t="shared" si="36"/>
        <v>1508</v>
      </c>
      <c r="AA51" s="2">
        <f t="shared" si="37"/>
        <v>246</v>
      </c>
      <c r="AB51" s="4">
        <f t="shared" si="38"/>
        <v>0.50663449939686367</v>
      </c>
      <c r="AC51" s="4">
        <f t="shared" si="39"/>
        <v>0.92241379310344829</v>
      </c>
      <c r="AD51" s="4">
        <f t="shared" si="40"/>
        <v>0.81061519903498191</v>
      </c>
      <c r="AE51" s="4">
        <f t="shared" si="41"/>
        <v>0.59167604049493816</v>
      </c>
    </row>
    <row r="52" spans="3:31" x14ac:dyDescent="0.2">
      <c r="C52" s="2">
        <v>82</v>
      </c>
      <c r="D52" s="2">
        <f t="shared" si="14"/>
        <v>176</v>
      </c>
      <c r="E52" s="2">
        <f t="shared" si="15"/>
        <v>131</v>
      </c>
      <c r="F52" s="2">
        <f t="shared" si="16"/>
        <v>307</v>
      </c>
      <c r="G52" s="4">
        <f t="shared" si="17"/>
        <v>0.57328990228013033</v>
      </c>
      <c r="H52" s="2">
        <f t="shared" si="18"/>
        <v>1064</v>
      </c>
      <c r="I52" s="2">
        <f t="shared" si="19"/>
        <v>977</v>
      </c>
      <c r="J52" s="2">
        <f t="shared" si="20"/>
        <v>308</v>
      </c>
      <c r="K52" s="2">
        <f t="shared" si="21"/>
        <v>491</v>
      </c>
      <c r="L52" s="2">
        <f t="shared" si="22"/>
        <v>443</v>
      </c>
      <c r="M52" s="2">
        <f t="shared" si="23"/>
        <v>92</v>
      </c>
      <c r="N52" s="2">
        <f t="shared" si="24"/>
        <v>48</v>
      </c>
      <c r="O52" s="2">
        <f t="shared" si="25"/>
        <v>583</v>
      </c>
      <c r="P52" s="2">
        <f t="shared" si="26"/>
        <v>328</v>
      </c>
      <c r="Q52" s="2">
        <f t="shared" si="27"/>
        <v>86</v>
      </c>
      <c r="R52" s="2">
        <f t="shared" si="28"/>
        <v>29</v>
      </c>
      <c r="S52" s="2">
        <f t="shared" si="29"/>
        <v>52</v>
      </c>
      <c r="T52" s="2">
        <f t="shared" si="30"/>
        <v>795</v>
      </c>
      <c r="U52" s="2">
        <f t="shared" si="31"/>
        <v>19</v>
      </c>
      <c r="V52" s="2">
        <f t="shared" si="32"/>
        <v>68</v>
      </c>
      <c r="W52" s="2">
        <f t="shared" si="33"/>
        <v>5</v>
      </c>
      <c r="X52" s="2">
        <f t="shared" si="34"/>
        <v>65</v>
      </c>
      <c r="Y52" s="2">
        <f t="shared" si="35"/>
        <v>624</v>
      </c>
      <c r="Z52" s="2">
        <f t="shared" si="36"/>
        <v>1808</v>
      </c>
      <c r="AA52" s="2">
        <f t="shared" si="37"/>
        <v>299</v>
      </c>
      <c r="AB52" s="4">
        <f t="shared" si="38"/>
        <v>0.50255885363357211</v>
      </c>
      <c r="AC52" s="4">
        <f t="shared" si="39"/>
        <v>0.91766723842195541</v>
      </c>
      <c r="AD52" s="4">
        <f t="shared" si="40"/>
        <v>0.81371545547594681</v>
      </c>
      <c r="AE52" s="4">
        <f t="shared" si="41"/>
        <v>0.5864661654135338</v>
      </c>
    </row>
    <row r="53" spans="3:31" x14ac:dyDescent="0.2">
      <c r="C53" s="2">
        <v>86</v>
      </c>
      <c r="D53" s="2">
        <f t="shared" si="14"/>
        <v>191</v>
      </c>
      <c r="E53" s="2">
        <f t="shared" si="15"/>
        <v>137</v>
      </c>
      <c r="F53" s="2">
        <f t="shared" si="16"/>
        <v>328</v>
      </c>
      <c r="G53" s="4">
        <f t="shared" si="17"/>
        <v>0.58231707317073167</v>
      </c>
      <c r="H53" s="2">
        <f t="shared" si="18"/>
        <v>1130</v>
      </c>
      <c r="I53" s="2">
        <f t="shared" si="19"/>
        <v>1034</v>
      </c>
      <c r="J53" s="2">
        <f t="shared" si="20"/>
        <v>332</v>
      </c>
      <c r="K53" s="2">
        <f t="shared" si="21"/>
        <v>521</v>
      </c>
      <c r="L53" s="2">
        <f t="shared" si="22"/>
        <v>487</v>
      </c>
      <c r="M53" s="2">
        <f t="shared" si="23"/>
        <v>146</v>
      </c>
      <c r="N53" s="2">
        <f t="shared" si="24"/>
        <v>57</v>
      </c>
      <c r="O53" s="2">
        <f t="shared" si="25"/>
        <v>690</v>
      </c>
      <c r="P53" s="2">
        <f t="shared" si="26"/>
        <v>351</v>
      </c>
      <c r="Q53" s="2">
        <f t="shared" si="27"/>
        <v>88</v>
      </c>
      <c r="R53" s="2">
        <f t="shared" si="28"/>
        <v>31</v>
      </c>
      <c r="S53" s="2">
        <f t="shared" si="29"/>
        <v>55</v>
      </c>
      <c r="T53" s="2">
        <f t="shared" si="30"/>
        <v>840</v>
      </c>
      <c r="U53" s="2">
        <f t="shared" si="31"/>
        <v>19</v>
      </c>
      <c r="V53" s="2">
        <f t="shared" si="32"/>
        <v>77</v>
      </c>
      <c r="W53" s="2">
        <f t="shared" si="33"/>
        <v>6</v>
      </c>
      <c r="X53" s="2">
        <f t="shared" si="34"/>
        <v>65</v>
      </c>
      <c r="Y53" s="2">
        <f t="shared" si="35"/>
        <v>663</v>
      </c>
      <c r="Z53" s="2">
        <f t="shared" si="36"/>
        <v>1908</v>
      </c>
      <c r="AA53" s="2">
        <f t="shared" si="37"/>
        <v>329</v>
      </c>
      <c r="AB53" s="4">
        <f t="shared" si="38"/>
        <v>0.50386847195357831</v>
      </c>
      <c r="AC53" s="4">
        <f t="shared" si="39"/>
        <v>0.91739130434782612</v>
      </c>
      <c r="AD53" s="4">
        <f t="shared" si="40"/>
        <v>0.81237911025145071</v>
      </c>
      <c r="AE53" s="4">
        <f t="shared" si="41"/>
        <v>0.58672566371681412</v>
      </c>
    </row>
    <row r="54" spans="3:31" x14ac:dyDescent="0.2">
      <c r="C54" s="2">
        <v>87</v>
      </c>
      <c r="D54" s="2">
        <f t="shared" si="14"/>
        <v>201</v>
      </c>
      <c r="E54" s="2">
        <f t="shared" si="15"/>
        <v>147</v>
      </c>
      <c r="F54" s="2">
        <f t="shared" si="16"/>
        <v>348</v>
      </c>
      <c r="G54" s="4">
        <f t="shared" si="17"/>
        <v>0.57758620689655171</v>
      </c>
      <c r="H54" s="2">
        <f t="shared" si="18"/>
        <v>1179</v>
      </c>
      <c r="I54" s="2">
        <f t="shared" si="19"/>
        <v>1080</v>
      </c>
      <c r="J54" s="2">
        <f t="shared" si="20"/>
        <v>332</v>
      </c>
      <c r="K54" s="2">
        <f t="shared" si="21"/>
        <v>546</v>
      </c>
      <c r="L54" s="2">
        <f t="shared" si="22"/>
        <v>487</v>
      </c>
      <c r="M54" s="2">
        <f t="shared" si="23"/>
        <v>146</v>
      </c>
      <c r="N54" s="2">
        <f t="shared" si="24"/>
        <v>57</v>
      </c>
      <c r="O54" s="2">
        <f t="shared" si="25"/>
        <v>690</v>
      </c>
      <c r="P54" s="2">
        <f t="shared" si="26"/>
        <v>371</v>
      </c>
      <c r="Q54" s="2">
        <f t="shared" si="27"/>
        <v>90</v>
      </c>
      <c r="R54" s="2">
        <f t="shared" si="28"/>
        <v>31</v>
      </c>
      <c r="S54" s="2">
        <f t="shared" si="29"/>
        <v>58</v>
      </c>
      <c r="T54" s="2">
        <f t="shared" si="30"/>
        <v>876</v>
      </c>
      <c r="U54" s="2">
        <f t="shared" si="31"/>
        <v>19</v>
      </c>
      <c r="V54" s="2">
        <f t="shared" si="32"/>
        <v>80</v>
      </c>
      <c r="W54" s="2">
        <f t="shared" si="33"/>
        <v>6</v>
      </c>
      <c r="X54" s="2">
        <f t="shared" si="34"/>
        <v>65</v>
      </c>
      <c r="Y54" s="2">
        <f t="shared" si="35"/>
        <v>691</v>
      </c>
      <c r="Z54" s="2">
        <f t="shared" si="36"/>
        <v>1992</v>
      </c>
      <c r="AA54" s="2">
        <f t="shared" si="37"/>
        <v>338</v>
      </c>
      <c r="AB54" s="4">
        <f t="shared" si="38"/>
        <v>0.50555555555555554</v>
      </c>
      <c r="AC54" s="4">
        <f t="shared" si="39"/>
        <v>0.91739130434782612</v>
      </c>
      <c r="AD54" s="4">
        <f t="shared" si="40"/>
        <v>0.81111111111111112</v>
      </c>
      <c r="AE54" s="4">
        <f t="shared" si="41"/>
        <v>0.58608990670059369</v>
      </c>
    </row>
    <row r="55" spans="3:31" x14ac:dyDescent="0.2">
      <c r="C55" s="2">
        <v>87</v>
      </c>
      <c r="D55" s="2">
        <f t="shared" si="14"/>
        <v>204</v>
      </c>
      <c r="E55" s="2">
        <f t="shared" si="15"/>
        <v>149</v>
      </c>
      <c r="F55" s="2">
        <f t="shared" si="16"/>
        <v>353</v>
      </c>
      <c r="G55" s="4">
        <f t="shared" si="17"/>
        <v>0.57790368271954673</v>
      </c>
      <c r="H55" s="2">
        <f t="shared" si="18"/>
        <v>1196</v>
      </c>
      <c r="I55" s="2">
        <f t="shared" si="19"/>
        <v>1097</v>
      </c>
      <c r="J55" s="2">
        <f t="shared" si="20"/>
        <v>341</v>
      </c>
      <c r="K55" s="2">
        <f t="shared" si="21"/>
        <v>556</v>
      </c>
      <c r="L55" s="2">
        <f t="shared" si="22"/>
        <v>492</v>
      </c>
      <c r="M55" s="2">
        <f t="shared" si="23"/>
        <v>151</v>
      </c>
      <c r="N55" s="2">
        <f t="shared" si="24"/>
        <v>60</v>
      </c>
      <c r="O55" s="2">
        <f t="shared" si="25"/>
        <v>703</v>
      </c>
      <c r="P55" s="2">
        <f t="shared" si="26"/>
        <v>378</v>
      </c>
      <c r="Q55" s="2">
        <f t="shared" si="27"/>
        <v>91</v>
      </c>
      <c r="R55" s="2">
        <f t="shared" si="28"/>
        <v>33</v>
      </c>
      <c r="S55" s="2">
        <f t="shared" si="29"/>
        <v>58</v>
      </c>
      <c r="T55" s="2">
        <f t="shared" si="30"/>
        <v>891</v>
      </c>
      <c r="U55" s="2">
        <f t="shared" si="31"/>
        <v>19</v>
      </c>
      <c r="V55" s="2">
        <f t="shared" si="32"/>
        <v>80</v>
      </c>
      <c r="W55" s="2">
        <f t="shared" si="33"/>
        <v>6</v>
      </c>
      <c r="X55" s="2">
        <f t="shared" si="34"/>
        <v>65</v>
      </c>
      <c r="Y55" s="2">
        <f t="shared" si="35"/>
        <v>701</v>
      </c>
      <c r="Z55" s="2">
        <f t="shared" si="36"/>
        <v>2022</v>
      </c>
      <c r="AA55" s="2">
        <f t="shared" si="37"/>
        <v>342</v>
      </c>
      <c r="AB55" s="4">
        <f t="shared" si="38"/>
        <v>0.50683682771194161</v>
      </c>
      <c r="AC55" s="4">
        <f t="shared" si="39"/>
        <v>0.914651493598862</v>
      </c>
      <c r="AD55" s="4">
        <f t="shared" si="40"/>
        <v>0.81221513217866914</v>
      </c>
      <c r="AE55" s="4">
        <f t="shared" si="41"/>
        <v>0.58612040133779264</v>
      </c>
    </row>
    <row r="56" spans="3:31" x14ac:dyDescent="0.2">
      <c r="C56" s="2">
        <v>87</v>
      </c>
      <c r="D56" s="2">
        <f t="shared" si="14"/>
        <v>215</v>
      </c>
      <c r="E56" s="2">
        <f t="shared" si="15"/>
        <v>149</v>
      </c>
      <c r="F56" s="2">
        <f t="shared" si="16"/>
        <v>364</v>
      </c>
      <c r="G56" s="4">
        <f t="shared" si="17"/>
        <v>0.59065934065934067</v>
      </c>
      <c r="H56" s="2">
        <f t="shared" si="18"/>
        <v>1222</v>
      </c>
      <c r="I56" s="2">
        <f t="shared" si="19"/>
        <v>1121</v>
      </c>
      <c r="J56" s="2">
        <f t="shared" si="20"/>
        <v>348</v>
      </c>
      <c r="K56" s="2">
        <f t="shared" si="21"/>
        <v>567</v>
      </c>
      <c r="L56" s="2">
        <f t="shared" si="22"/>
        <v>492</v>
      </c>
      <c r="M56" s="2">
        <f t="shared" si="23"/>
        <v>151</v>
      </c>
      <c r="N56" s="2">
        <f t="shared" si="24"/>
        <v>60</v>
      </c>
      <c r="O56" s="2">
        <f t="shared" si="25"/>
        <v>703</v>
      </c>
      <c r="P56" s="2">
        <f t="shared" si="26"/>
        <v>384</v>
      </c>
      <c r="Q56" s="2">
        <f t="shared" si="27"/>
        <v>92</v>
      </c>
      <c r="R56" s="2">
        <f t="shared" si="28"/>
        <v>36</v>
      </c>
      <c r="S56" s="2">
        <f t="shared" si="29"/>
        <v>59</v>
      </c>
      <c r="T56" s="2">
        <f t="shared" si="30"/>
        <v>912</v>
      </c>
      <c r="U56" s="2">
        <f t="shared" si="31"/>
        <v>19</v>
      </c>
      <c r="V56" s="2">
        <f t="shared" si="32"/>
        <v>82</v>
      </c>
      <c r="W56" s="2">
        <f t="shared" si="33"/>
        <v>6</v>
      </c>
      <c r="X56" s="2">
        <f t="shared" si="34"/>
        <v>65</v>
      </c>
      <c r="Y56" s="2">
        <f t="shared" si="35"/>
        <v>714</v>
      </c>
      <c r="Z56" s="2">
        <f t="shared" si="36"/>
        <v>2070</v>
      </c>
      <c r="AA56" s="2">
        <f t="shared" si="37"/>
        <v>356</v>
      </c>
      <c r="AB56" s="4">
        <f t="shared" si="38"/>
        <v>0.50579839429081175</v>
      </c>
      <c r="AC56" s="4">
        <f t="shared" si="39"/>
        <v>0.914651493598862</v>
      </c>
      <c r="AD56" s="4">
        <f t="shared" si="40"/>
        <v>0.81355932203389836</v>
      </c>
      <c r="AE56" s="4">
        <f t="shared" si="41"/>
        <v>0.58428805237315873</v>
      </c>
    </row>
    <row r="57" spans="3:31" x14ac:dyDescent="0.2">
      <c r="C57" s="2">
        <v>87</v>
      </c>
      <c r="D57" s="2">
        <f t="shared" si="14"/>
        <v>225</v>
      </c>
      <c r="E57" s="2">
        <f t="shared" si="15"/>
        <v>155</v>
      </c>
      <c r="F57" s="2">
        <f t="shared" si="16"/>
        <v>380</v>
      </c>
      <c r="G57" s="4">
        <f t="shared" si="17"/>
        <v>0.59210526315789469</v>
      </c>
      <c r="H57" s="2">
        <f t="shared" si="18"/>
        <v>1265</v>
      </c>
      <c r="I57" s="2">
        <f t="shared" si="19"/>
        <v>1162</v>
      </c>
      <c r="J57" s="2">
        <f t="shared" si="20"/>
        <v>348</v>
      </c>
      <c r="K57" s="2">
        <f t="shared" si="21"/>
        <v>587</v>
      </c>
      <c r="L57" s="2">
        <f t="shared" si="22"/>
        <v>492</v>
      </c>
      <c r="M57" s="2">
        <f t="shared" si="23"/>
        <v>151</v>
      </c>
      <c r="N57" s="2">
        <f t="shared" si="24"/>
        <v>60</v>
      </c>
      <c r="O57" s="2">
        <f t="shared" si="25"/>
        <v>703</v>
      </c>
      <c r="P57" s="2">
        <f t="shared" si="26"/>
        <v>399</v>
      </c>
      <c r="Q57" s="2">
        <f t="shared" si="27"/>
        <v>93</v>
      </c>
      <c r="R57" s="2">
        <f t="shared" si="28"/>
        <v>39</v>
      </c>
      <c r="S57" s="2">
        <f t="shared" si="29"/>
        <v>60</v>
      </c>
      <c r="T57" s="2">
        <f t="shared" si="30"/>
        <v>942</v>
      </c>
      <c r="U57" s="2">
        <f t="shared" si="31"/>
        <v>19</v>
      </c>
      <c r="V57" s="2">
        <f t="shared" si="32"/>
        <v>84</v>
      </c>
      <c r="W57" s="2">
        <f t="shared" si="33"/>
        <v>6</v>
      </c>
      <c r="X57" s="2">
        <f t="shared" si="34"/>
        <v>65</v>
      </c>
      <c r="Y57" s="2">
        <f t="shared" si="35"/>
        <v>736</v>
      </c>
      <c r="Z57" s="2">
        <f t="shared" si="36"/>
        <v>2142</v>
      </c>
      <c r="AA57" s="2">
        <f t="shared" si="37"/>
        <v>366</v>
      </c>
      <c r="AB57" s="4">
        <f t="shared" si="38"/>
        <v>0.50516351118760761</v>
      </c>
      <c r="AC57" s="4">
        <f t="shared" si="39"/>
        <v>0.914651493598862</v>
      </c>
      <c r="AD57" s="4">
        <f t="shared" si="40"/>
        <v>0.81067125645438898</v>
      </c>
      <c r="AE57" s="4">
        <f t="shared" si="41"/>
        <v>0.58181818181818179</v>
      </c>
    </row>
    <row r="58" spans="3:31" x14ac:dyDescent="0.2">
      <c r="C58" s="2">
        <v>87</v>
      </c>
      <c r="D58" s="2">
        <f t="shared" si="14"/>
        <v>233</v>
      </c>
      <c r="E58" s="2">
        <f t="shared" si="15"/>
        <v>162</v>
      </c>
      <c r="F58" s="2">
        <f t="shared" si="16"/>
        <v>395</v>
      </c>
      <c r="G58" s="4">
        <f t="shared" si="17"/>
        <v>0.58987341772151902</v>
      </c>
      <c r="H58" s="2">
        <f t="shared" si="18"/>
        <v>1300</v>
      </c>
      <c r="I58" s="2">
        <f t="shared" si="19"/>
        <v>1193</v>
      </c>
      <c r="J58" s="2">
        <f t="shared" si="20"/>
        <v>348</v>
      </c>
      <c r="K58" s="2">
        <f t="shared" si="21"/>
        <v>603</v>
      </c>
      <c r="L58" s="2">
        <f t="shared" si="22"/>
        <v>492</v>
      </c>
      <c r="M58" s="2">
        <f t="shared" si="23"/>
        <v>151</v>
      </c>
      <c r="N58" s="2">
        <f t="shared" si="24"/>
        <v>60</v>
      </c>
      <c r="O58" s="2">
        <f t="shared" si="25"/>
        <v>703</v>
      </c>
      <c r="P58" s="2">
        <f t="shared" si="26"/>
        <v>414</v>
      </c>
      <c r="Q58" s="2">
        <f t="shared" si="27"/>
        <v>93</v>
      </c>
      <c r="R58" s="2">
        <f t="shared" si="28"/>
        <v>39</v>
      </c>
      <c r="S58" s="2">
        <f t="shared" si="29"/>
        <v>61</v>
      </c>
      <c r="T58" s="2">
        <f t="shared" si="30"/>
        <v>961</v>
      </c>
      <c r="U58" s="2">
        <f t="shared" si="31"/>
        <v>19</v>
      </c>
      <c r="V58" s="2">
        <f t="shared" si="32"/>
        <v>88</v>
      </c>
      <c r="W58" s="2">
        <f t="shared" si="33"/>
        <v>6</v>
      </c>
      <c r="X58" s="2">
        <f t="shared" si="34"/>
        <v>65</v>
      </c>
      <c r="Y58" s="2">
        <f t="shared" si="35"/>
        <v>756</v>
      </c>
      <c r="Z58" s="2">
        <f t="shared" si="36"/>
        <v>2208</v>
      </c>
      <c r="AA58" s="2">
        <f t="shared" si="37"/>
        <v>371</v>
      </c>
      <c r="AB58" s="4">
        <f t="shared" si="38"/>
        <v>0.50544844928751043</v>
      </c>
      <c r="AC58" s="4">
        <f t="shared" si="39"/>
        <v>0.914651493598862</v>
      </c>
      <c r="AD58" s="4">
        <f t="shared" si="40"/>
        <v>0.80553227158424145</v>
      </c>
      <c r="AE58" s="4">
        <f t="shared" si="41"/>
        <v>0.58153846153846156</v>
      </c>
    </row>
    <row r="59" spans="3:31" x14ac:dyDescent="0.2">
      <c r="C59" s="2">
        <v>88</v>
      </c>
      <c r="D59" s="2">
        <f t="shared" si="14"/>
        <v>293</v>
      </c>
      <c r="E59" s="2">
        <f t="shared" si="15"/>
        <v>171</v>
      </c>
      <c r="F59" s="2">
        <f t="shared" si="16"/>
        <v>464</v>
      </c>
      <c r="G59" s="4">
        <f t="shared" si="17"/>
        <v>0.63146551724137934</v>
      </c>
      <c r="H59" s="2">
        <f t="shared" si="18"/>
        <v>1469</v>
      </c>
      <c r="I59" s="2">
        <f t="shared" si="19"/>
        <v>1341</v>
      </c>
      <c r="J59" s="2">
        <f t="shared" si="20"/>
        <v>405</v>
      </c>
      <c r="K59" s="2">
        <f t="shared" si="21"/>
        <v>679</v>
      </c>
      <c r="L59" s="2">
        <f t="shared" si="22"/>
        <v>492</v>
      </c>
      <c r="M59" s="2">
        <f t="shared" si="23"/>
        <v>151</v>
      </c>
      <c r="N59" s="2">
        <f t="shared" si="24"/>
        <v>65</v>
      </c>
      <c r="O59" s="2">
        <f t="shared" si="25"/>
        <v>703</v>
      </c>
      <c r="P59" s="2">
        <f t="shared" si="26"/>
        <v>464</v>
      </c>
      <c r="Q59" s="2">
        <f t="shared" si="27"/>
        <v>103</v>
      </c>
      <c r="R59" s="2">
        <f t="shared" si="28"/>
        <v>52</v>
      </c>
      <c r="S59" s="2">
        <f t="shared" si="29"/>
        <v>64</v>
      </c>
      <c r="T59" s="2">
        <f t="shared" si="30"/>
        <v>1082</v>
      </c>
      <c r="U59" s="2">
        <f t="shared" si="31"/>
        <v>25</v>
      </c>
      <c r="V59" s="2">
        <f t="shared" si="32"/>
        <v>103</v>
      </c>
      <c r="W59" s="2">
        <f t="shared" si="33"/>
        <v>6</v>
      </c>
      <c r="X59" s="2">
        <f t="shared" si="34"/>
        <v>65</v>
      </c>
      <c r="Y59" s="2">
        <f t="shared" si="35"/>
        <v>847</v>
      </c>
      <c r="Z59" s="2">
        <f t="shared" si="36"/>
        <v>2495</v>
      </c>
      <c r="AA59" s="2">
        <f t="shared" si="37"/>
        <v>431</v>
      </c>
      <c r="AB59" s="4">
        <f t="shared" si="38"/>
        <v>0.50633855331841904</v>
      </c>
      <c r="AC59" s="4">
        <f t="shared" si="39"/>
        <v>0.914651493598862</v>
      </c>
      <c r="AD59" s="4">
        <f t="shared" si="40"/>
        <v>0.80686055182699479</v>
      </c>
      <c r="AE59" s="4">
        <f t="shared" si="41"/>
        <v>0.57658270932607214</v>
      </c>
    </row>
    <row r="60" spans="3:31" x14ac:dyDescent="0.2">
      <c r="C60" s="2">
        <v>89</v>
      </c>
      <c r="D60" s="2">
        <f t="shared" si="14"/>
        <v>309</v>
      </c>
      <c r="E60" s="2">
        <f t="shared" si="15"/>
        <v>193</v>
      </c>
      <c r="F60" s="2">
        <f t="shared" si="16"/>
        <v>502</v>
      </c>
      <c r="G60" s="4">
        <f t="shared" si="17"/>
        <v>0.6155378486055777</v>
      </c>
      <c r="H60" s="2">
        <f t="shared" si="18"/>
        <v>1590</v>
      </c>
      <c r="I60" s="2">
        <f t="shared" si="19"/>
        <v>1452</v>
      </c>
      <c r="J60" s="2">
        <f t="shared" si="20"/>
        <v>441</v>
      </c>
      <c r="K60" s="2">
        <f t="shared" si="21"/>
        <v>736</v>
      </c>
      <c r="L60" s="2">
        <f t="shared" si="22"/>
        <v>492</v>
      </c>
      <c r="M60" s="2">
        <f t="shared" si="23"/>
        <v>151</v>
      </c>
      <c r="N60" s="2">
        <f t="shared" si="24"/>
        <v>65</v>
      </c>
      <c r="O60" s="2">
        <f t="shared" si="25"/>
        <v>703</v>
      </c>
      <c r="P60" s="2">
        <f t="shared" si="26"/>
        <v>499</v>
      </c>
      <c r="Q60" s="2">
        <f t="shared" si="27"/>
        <v>106</v>
      </c>
      <c r="R60" s="2">
        <f t="shared" si="28"/>
        <v>69</v>
      </c>
      <c r="S60" s="2">
        <f t="shared" si="29"/>
        <v>66</v>
      </c>
      <c r="T60" s="2">
        <f t="shared" si="30"/>
        <v>1182</v>
      </c>
      <c r="U60" s="2">
        <f t="shared" si="31"/>
        <v>28</v>
      </c>
      <c r="V60" s="2">
        <f t="shared" si="32"/>
        <v>110</v>
      </c>
      <c r="W60" s="2">
        <f t="shared" si="33"/>
        <v>6</v>
      </c>
      <c r="X60" s="2">
        <f t="shared" si="34"/>
        <v>65</v>
      </c>
      <c r="Y60" s="2">
        <f t="shared" si="35"/>
        <v>911</v>
      </c>
      <c r="Z60" s="2">
        <f t="shared" si="36"/>
        <v>2723</v>
      </c>
      <c r="AA60" s="2">
        <f t="shared" si="37"/>
        <v>476</v>
      </c>
      <c r="AB60" s="4">
        <f t="shared" si="38"/>
        <v>0.50688705234159781</v>
      </c>
      <c r="AC60" s="4">
        <f t="shared" si="39"/>
        <v>0.914651493598862</v>
      </c>
      <c r="AD60" s="4">
        <f t="shared" si="40"/>
        <v>0.81404958677685946</v>
      </c>
      <c r="AE60" s="4">
        <f t="shared" si="41"/>
        <v>0.57295597484276728</v>
      </c>
    </row>
    <row r="61" spans="3:31" x14ac:dyDescent="0.2">
      <c r="C61" s="2">
        <v>91</v>
      </c>
      <c r="D61" s="2">
        <f t="shared" si="14"/>
        <v>317</v>
      </c>
      <c r="E61" s="2">
        <f t="shared" si="15"/>
        <v>198</v>
      </c>
      <c r="F61" s="2">
        <f t="shared" si="16"/>
        <v>515</v>
      </c>
      <c r="G61" s="4">
        <f t="shared" si="17"/>
        <v>0.61553398058252429</v>
      </c>
      <c r="H61" s="2">
        <f t="shared" si="18"/>
        <v>1641</v>
      </c>
      <c r="I61" s="2">
        <f t="shared" si="19"/>
        <v>1499</v>
      </c>
      <c r="J61" s="2">
        <f t="shared" si="20"/>
        <v>441</v>
      </c>
      <c r="K61" s="2">
        <f t="shared" si="21"/>
        <v>761</v>
      </c>
      <c r="L61" s="2">
        <f t="shared" si="22"/>
        <v>492</v>
      </c>
      <c r="M61" s="2">
        <f t="shared" si="23"/>
        <v>151</v>
      </c>
      <c r="N61" s="2">
        <f t="shared" si="24"/>
        <v>65</v>
      </c>
      <c r="O61" s="2">
        <f t="shared" si="25"/>
        <v>703</v>
      </c>
      <c r="P61" s="2">
        <f t="shared" si="26"/>
        <v>518</v>
      </c>
      <c r="Q61" s="2">
        <f t="shared" si="27"/>
        <v>107</v>
      </c>
      <c r="R61" s="2">
        <f t="shared" si="28"/>
        <v>71</v>
      </c>
      <c r="S61" s="2">
        <f t="shared" si="29"/>
        <v>69</v>
      </c>
      <c r="T61" s="2">
        <f t="shared" si="30"/>
        <v>1221</v>
      </c>
      <c r="U61" s="2">
        <f t="shared" si="31"/>
        <v>31</v>
      </c>
      <c r="V61" s="2">
        <f t="shared" si="32"/>
        <v>111</v>
      </c>
      <c r="W61" s="2">
        <f t="shared" si="33"/>
        <v>6</v>
      </c>
      <c r="X61" s="2">
        <f t="shared" si="34"/>
        <v>68</v>
      </c>
      <c r="Y61" s="2">
        <f t="shared" si="35"/>
        <v>940</v>
      </c>
      <c r="Z61" s="2">
        <f t="shared" si="36"/>
        <v>2801</v>
      </c>
      <c r="AA61" s="2">
        <f t="shared" si="37"/>
        <v>489</v>
      </c>
      <c r="AB61" s="4">
        <f t="shared" si="38"/>
        <v>0.50767178118745826</v>
      </c>
      <c r="AC61" s="4">
        <f t="shared" si="39"/>
        <v>0.914651493598862</v>
      </c>
      <c r="AD61" s="4">
        <f t="shared" si="40"/>
        <v>0.81454302868579054</v>
      </c>
      <c r="AE61" s="4">
        <f t="shared" si="41"/>
        <v>0.57282145033516152</v>
      </c>
    </row>
    <row r="62" spans="3:31" x14ac:dyDescent="0.2">
      <c r="C62" s="2">
        <v>92</v>
      </c>
      <c r="D62" s="2">
        <f t="shared" si="14"/>
        <v>329</v>
      </c>
      <c r="E62" s="2">
        <f t="shared" si="15"/>
        <v>206</v>
      </c>
      <c r="F62" s="2">
        <f t="shared" si="16"/>
        <v>535</v>
      </c>
      <c r="G62" s="4">
        <f t="shared" si="17"/>
        <v>0.61495327102803743</v>
      </c>
      <c r="H62" s="2">
        <f t="shared" si="18"/>
        <v>1700</v>
      </c>
      <c r="I62" s="2">
        <f t="shared" si="19"/>
        <v>1548</v>
      </c>
      <c r="J62" s="2">
        <f t="shared" si="20"/>
        <v>458</v>
      </c>
      <c r="K62" s="2">
        <f t="shared" si="21"/>
        <v>784</v>
      </c>
      <c r="L62" s="2">
        <f t="shared" si="22"/>
        <v>492</v>
      </c>
      <c r="M62" s="2">
        <f t="shared" si="23"/>
        <v>151</v>
      </c>
      <c r="N62" s="2">
        <f t="shared" si="24"/>
        <v>65</v>
      </c>
      <c r="O62" s="2">
        <f t="shared" si="25"/>
        <v>703</v>
      </c>
      <c r="P62" s="2">
        <f t="shared" si="26"/>
        <v>538</v>
      </c>
      <c r="Q62" s="2">
        <f t="shared" si="27"/>
        <v>108</v>
      </c>
      <c r="R62" s="2">
        <f t="shared" si="28"/>
        <v>72</v>
      </c>
      <c r="S62" s="2">
        <f t="shared" si="29"/>
        <v>70</v>
      </c>
      <c r="T62" s="2">
        <f t="shared" si="30"/>
        <v>1250</v>
      </c>
      <c r="U62" s="2">
        <f t="shared" si="31"/>
        <v>34</v>
      </c>
      <c r="V62" s="2">
        <f t="shared" si="32"/>
        <v>118</v>
      </c>
      <c r="W62" s="2">
        <f t="shared" si="33"/>
        <v>7</v>
      </c>
      <c r="X62" s="2">
        <f t="shared" si="34"/>
        <v>74</v>
      </c>
      <c r="Y62" s="2">
        <f t="shared" si="35"/>
        <v>976</v>
      </c>
      <c r="Z62" s="2">
        <f t="shared" si="36"/>
        <v>2901</v>
      </c>
      <c r="AA62" s="2">
        <f t="shared" si="37"/>
        <v>506</v>
      </c>
      <c r="AB62" s="4">
        <f t="shared" si="38"/>
        <v>0.50645994832041341</v>
      </c>
      <c r="AC62" s="4">
        <f t="shared" si="39"/>
        <v>0.914651493598862</v>
      </c>
      <c r="AD62" s="4">
        <f t="shared" si="40"/>
        <v>0.80749354005167961</v>
      </c>
      <c r="AE62" s="4">
        <f t="shared" si="41"/>
        <v>0.57411764705882351</v>
      </c>
    </row>
    <row r="63" spans="3:31" x14ac:dyDescent="0.2">
      <c r="C63" s="2">
        <v>93</v>
      </c>
      <c r="D63" s="2">
        <f t="shared" si="14"/>
        <v>343</v>
      </c>
      <c r="E63" s="2">
        <f t="shared" si="15"/>
        <v>212</v>
      </c>
      <c r="F63" s="2">
        <f t="shared" si="16"/>
        <v>555</v>
      </c>
      <c r="G63" s="4">
        <f t="shared" si="17"/>
        <v>0.61801801801801803</v>
      </c>
      <c r="H63" s="2">
        <f t="shared" si="18"/>
        <v>1744</v>
      </c>
      <c r="I63" s="2">
        <f t="shared" si="19"/>
        <v>1584</v>
      </c>
      <c r="J63" s="2">
        <f t="shared" si="20"/>
        <v>476</v>
      </c>
      <c r="K63" s="2">
        <f t="shared" si="21"/>
        <v>806</v>
      </c>
      <c r="L63" s="2">
        <f t="shared" si="22"/>
        <v>492</v>
      </c>
      <c r="M63" s="2">
        <f t="shared" si="23"/>
        <v>151</v>
      </c>
      <c r="N63" s="2">
        <f t="shared" si="24"/>
        <v>65</v>
      </c>
      <c r="O63" s="2">
        <f t="shared" si="25"/>
        <v>703</v>
      </c>
      <c r="P63" s="2">
        <f t="shared" si="26"/>
        <v>556</v>
      </c>
      <c r="Q63" s="2">
        <f t="shared" si="27"/>
        <v>111</v>
      </c>
      <c r="R63" s="2">
        <f t="shared" si="28"/>
        <v>73</v>
      </c>
      <c r="S63" s="2">
        <f t="shared" si="29"/>
        <v>70</v>
      </c>
      <c r="T63" s="2">
        <f t="shared" si="30"/>
        <v>1277</v>
      </c>
      <c r="U63" s="2">
        <f t="shared" si="31"/>
        <v>34</v>
      </c>
      <c r="V63" s="2">
        <f t="shared" si="32"/>
        <v>126</v>
      </c>
      <c r="W63" s="2">
        <f t="shared" si="33"/>
        <v>8</v>
      </c>
      <c r="X63" s="2">
        <f t="shared" si="34"/>
        <v>77</v>
      </c>
      <c r="Y63" s="2">
        <f t="shared" si="35"/>
        <v>1009</v>
      </c>
      <c r="Z63" s="2">
        <f t="shared" si="36"/>
        <v>2961</v>
      </c>
      <c r="AA63" s="2">
        <f t="shared" si="37"/>
        <v>518</v>
      </c>
      <c r="AB63" s="4">
        <f t="shared" si="38"/>
        <v>0.50883838383838387</v>
      </c>
      <c r="AC63" s="4">
        <f t="shared" si="39"/>
        <v>0.914651493598862</v>
      </c>
      <c r="AD63" s="4">
        <f t="shared" si="40"/>
        <v>0.80618686868686873</v>
      </c>
      <c r="AE63" s="4">
        <f t="shared" si="41"/>
        <v>0.57855504587155959</v>
      </c>
    </row>
    <row r="64" spans="3:31" x14ac:dyDescent="0.2">
      <c r="C64" s="2">
        <v>93</v>
      </c>
      <c r="D64" s="2">
        <f t="shared" si="14"/>
        <v>343</v>
      </c>
      <c r="E64" s="2">
        <f t="shared" si="15"/>
        <v>214</v>
      </c>
      <c r="F64" s="2">
        <f t="shared" si="16"/>
        <v>557</v>
      </c>
      <c r="G64" s="4">
        <f t="shared" si="17"/>
        <v>0.61579892280071813</v>
      </c>
      <c r="H64" s="2">
        <f t="shared" si="18"/>
        <v>1751</v>
      </c>
      <c r="I64" s="2">
        <f t="shared" si="19"/>
        <v>1591</v>
      </c>
      <c r="J64" s="2">
        <f t="shared" si="20"/>
        <v>476</v>
      </c>
      <c r="K64" s="2">
        <f t="shared" si="21"/>
        <v>808</v>
      </c>
      <c r="L64" s="2">
        <f t="shared" si="22"/>
        <v>492</v>
      </c>
      <c r="M64" s="2">
        <f t="shared" si="23"/>
        <v>151</v>
      </c>
      <c r="N64" s="2">
        <f t="shared" si="24"/>
        <v>65</v>
      </c>
      <c r="O64" s="2">
        <f t="shared" si="25"/>
        <v>703</v>
      </c>
      <c r="P64" s="2">
        <f t="shared" si="26"/>
        <v>557</v>
      </c>
      <c r="Q64" s="2">
        <f t="shared" si="27"/>
        <v>112</v>
      </c>
      <c r="R64" s="2">
        <f t="shared" si="28"/>
        <v>73</v>
      </c>
      <c r="S64" s="2">
        <f t="shared" si="29"/>
        <v>70</v>
      </c>
      <c r="T64" s="2">
        <f t="shared" si="30"/>
        <v>1280</v>
      </c>
      <c r="U64" s="2">
        <f t="shared" si="31"/>
        <v>34</v>
      </c>
      <c r="V64" s="2">
        <f t="shared" si="32"/>
        <v>126</v>
      </c>
      <c r="W64" s="2">
        <f t="shared" si="33"/>
        <v>8</v>
      </c>
      <c r="X64" s="2">
        <f t="shared" si="34"/>
        <v>77</v>
      </c>
      <c r="Y64" s="2">
        <f t="shared" si="35"/>
        <v>1011</v>
      </c>
      <c r="Z64" s="2">
        <f t="shared" si="36"/>
        <v>2975</v>
      </c>
      <c r="AA64" s="2">
        <f t="shared" si="37"/>
        <v>520</v>
      </c>
      <c r="AB64" s="4">
        <f t="shared" si="38"/>
        <v>0.50785669390320554</v>
      </c>
      <c r="AC64" s="4">
        <f t="shared" si="39"/>
        <v>0.914651493598862</v>
      </c>
      <c r="AD64" s="4">
        <f t="shared" si="40"/>
        <v>0.8045254556882464</v>
      </c>
      <c r="AE64" s="4">
        <f t="shared" si="41"/>
        <v>0.57738435179897196</v>
      </c>
    </row>
    <row r="65" spans="3:31" x14ac:dyDescent="0.2">
      <c r="C65" s="2">
        <v>93</v>
      </c>
      <c r="D65" s="2">
        <f t="shared" si="14"/>
        <v>345</v>
      </c>
      <c r="E65" s="2">
        <f t="shared" si="15"/>
        <v>215</v>
      </c>
      <c r="F65" s="2">
        <f t="shared" si="16"/>
        <v>560</v>
      </c>
      <c r="G65" s="4">
        <f t="shared" si="17"/>
        <v>0.6160714285714286</v>
      </c>
      <c r="H65" s="2">
        <f t="shared" si="18"/>
        <v>1762</v>
      </c>
      <c r="I65" s="2">
        <f t="shared" si="19"/>
        <v>1599</v>
      </c>
      <c r="J65" s="2">
        <f t="shared" si="20"/>
        <v>480</v>
      </c>
      <c r="K65" s="2">
        <f t="shared" si="21"/>
        <v>810</v>
      </c>
      <c r="L65" s="2">
        <f t="shared" si="22"/>
        <v>492</v>
      </c>
      <c r="M65" s="2">
        <f t="shared" si="23"/>
        <v>151</v>
      </c>
      <c r="N65" s="2">
        <f t="shared" si="24"/>
        <v>65</v>
      </c>
      <c r="O65" s="2">
        <f t="shared" si="25"/>
        <v>703</v>
      </c>
      <c r="P65" s="2">
        <f t="shared" si="26"/>
        <v>559</v>
      </c>
      <c r="Q65" s="2">
        <f t="shared" si="27"/>
        <v>112</v>
      </c>
      <c r="R65" s="2">
        <f t="shared" si="28"/>
        <v>73</v>
      </c>
      <c r="S65" s="2">
        <f t="shared" si="29"/>
        <v>70</v>
      </c>
      <c r="T65" s="2">
        <f t="shared" si="30"/>
        <v>1282</v>
      </c>
      <c r="U65" s="2">
        <f t="shared" si="31"/>
        <v>34</v>
      </c>
      <c r="V65" s="2">
        <f t="shared" si="32"/>
        <v>129</v>
      </c>
      <c r="W65" s="2">
        <f t="shared" si="33"/>
        <v>8</v>
      </c>
      <c r="X65" s="2">
        <f t="shared" si="34"/>
        <v>78</v>
      </c>
      <c r="Y65" s="2">
        <f t="shared" si="35"/>
        <v>1017</v>
      </c>
      <c r="Z65" s="2">
        <f t="shared" si="36"/>
        <v>2989</v>
      </c>
      <c r="AA65" s="2">
        <f t="shared" si="37"/>
        <v>521</v>
      </c>
      <c r="AB65" s="4">
        <f t="shared" si="38"/>
        <v>0.5065666041275797</v>
      </c>
      <c r="AC65" s="4">
        <f t="shared" si="39"/>
        <v>0.914651493598862</v>
      </c>
      <c r="AD65" s="4">
        <f t="shared" si="40"/>
        <v>0.80175109443402126</v>
      </c>
      <c r="AE65" s="4">
        <f t="shared" si="41"/>
        <v>0.57718501702610669</v>
      </c>
    </row>
    <row r="66" spans="3:31" x14ac:dyDescent="0.2">
      <c r="C66" s="2">
        <v>93</v>
      </c>
      <c r="D66" s="2">
        <f t="shared" si="14"/>
        <v>345</v>
      </c>
      <c r="E66" s="2">
        <f t="shared" si="15"/>
        <v>215</v>
      </c>
      <c r="F66" s="2">
        <f t="shared" si="16"/>
        <v>560</v>
      </c>
      <c r="G66" s="4">
        <f t="shared" si="17"/>
        <v>0.6160714285714286</v>
      </c>
      <c r="H66" s="2">
        <f t="shared" si="18"/>
        <v>1779</v>
      </c>
      <c r="I66" s="2">
        <f t="shared" si="19"/>
        <v>1613</v>
      </c>
      <c r="J66" s="2">
        <f t="shared" si="20"/>
        <v>487</v>
      </c>
      <c r="K66" s="2">
        <f t="shared" si="21"/>
        <v>816</v>
      </c>
      <c r="L66" s="2">
        <f t="shared" si="22"/>
        <v>492</v>
      </c>
      <c r="M66" s="2">
        <f t="shared" si="23"/>
        <v>151</v>
      </c>
      <c r="N66" s="2">
        <f t="shared" si="24"/>
        <v>65</v>
      </c>
      <c r="O66" s="2">
        <f t="shared" si="25"/>
        <v>703</v>
      </c>
      <c r="P66" s="2">
        <f t="shared" si="26"/>
        <v>562</v>
      </c>
      <c r="Q66" s="2">
        <f t="shared" si="27"/>
        <v>114</v>
      </c>
      <c r="R66" s="2">
        <f t="shared" si="28"/>
        <v>74</v>
      </c>
      <c r="S66" s="2">
        <f t="shared" si="29"/>
        <v>70</v>
      </c>
      <c r="T66" s="2">
        <f t="shared" si="30"/>
        <v>1292</v>
      </c>
      <c r="U66" s="2">
        <f t="shared" si="31"/>
        <v>35</v>
      </c>
      <c r="V66" s="2">
        <f t="shared" si="32"/>
        <v>131</v>
      </c>
      <c r="W66" s="2">
        <f t="shared" si="33"/>
        <v>8</v>
      </c>
      <c r="X66" s="2">
        <f t="shared" si="34"/>
        <v>81</v>
      </c>
      <c r="Y66" s="2">
        <f t="shared" si="35"/>
        <v>1028</v>
      </c>
      <c r="Z66" s="2">
        <f t="shared" si="36"/>
        <v>3017</v>
      </c>
      <c r="AA66" s="2">
        <f t="shared" si="37"/>
        <v>524</v>
      </c>
      <c r="AB66" s="4">
        <f t="shared" si="38"/>
        <v>0.50588964662120273</v>
      </c>
      <c r="AC66" s="4">
        <f t="shared" si="39"/>
        <v>0.914651493598862</v>
      </c>
      <c r="AD66" s="4">
        <f t="shared" si="40"/>
        <v>0.80099194048357103</v>
      </c>
      <c r="AE66" s="4">
        <f t="shared" si="41"/>
        <v>0.57785272625070261</v>
      </c>
    </row>
    <row r="67" spans="3:31" x14ac:dyDescent="0.2">
      <c r="C67" s="2">
        <v>94</v>
      </c>
      <c r="D67" s="2">
        <f t="shared" si="14"/>
        <v>356</v>
      </c>
      <c r="E67" s="2">
        <f t="shared" si="15"/>
        <v>222</v>
      </c>
      <c r="F67" s="2">
        <f t="shared" si="16"/>
        <v>578</v>
      </c>
      <c r="G67" s="4">
        <f t="shared" si="17"/>
        <v>0.61591695501730104</v>
      </c>
      <c r="H67" s="2">
        <f t="shared" si="18"/>
        <v>1833</v>
      </c>
      <c r="I67" s="2">
        <f t="shared" si="19"/>
        <v>1657</v>
      </c>
      <c r="J67" s="2">
        <f t="shared" si="20"/>
        <v>501</v>
      </c>
      <c r="K67" s="2">
        <f t="shared" si="21"/>
        <v>834</v>
      </c>
      <c r="L67" s="2">
        <f t="shared" si="22"/>
        <v>492</v>
      </c>
      <c r="M67" s="2">
        <f t="shared" si="23"/>
        <v>151</v>
      </c>
      <c r="N67" s="2">
        <f t="shared" si="24"/>
        <v>65</v>
      </c>
      <c r="O67" s="2">
        <f t="shared" si="25"/>
        <v>703</v>
      </c>
      <c r="P67" s="2">
        <f t="shared" si="26"/>
        <v>574</v>
      </c>
      <c r="Q67" s="2">
        <f t="shared" si="27"/>
        <v>117</v>
      </c>
      <c r="R67" s="2">
        <f t="shared" si="28"/>
        <v>76</v>
      </c>
      <c r="S67" s="2">
        <f t="shared" si="29"/>
        <v>71</v>
      </c>
      <c r="T67" s="2">
        <f t="shared" si="30"/>
        <v>1320</v>
      </c>
      <c r="U67" s="2">
        <f t="shared" si="31"/>
        <v>37</v>
      </c>
      <c r="V67" s="2">
        <f t="shared" si="32"/>
        <v>139</v>
      </c>
      <c r="W67" s="2">
        <f t="shared" si="33"/>
        <v>11</v>
      </c>
      <c r="X67" s="2">
        <f t="shared" si="34"/>
        <v>85</v>
      </c>
      <c r="Y67" s="2">
        <f t="shared" si="35"/>
        <v>1058</v>
      </c>
      <c r="Z67" s="2">
        <f t="shared" si="36"/>
        <v>3095</v>
      </c>
      <c r="AA67" s="2">
        <f t="shared" si="37"/>
        <v>536</v>
      </c>
      <c r="AB67" s="4">
        <f t="shared" si="38"/>
        <v>0.50331925165962588</v>
      </c>
      <c r="AC67" s="4">
        <f t="shared" si="39"/>
        <v>0.914651493598862</v>
      </c>
      <c r="AD67" s="4">
        <f t="shared" si="40"/>
        <v>0.79662039831019915</v>
      </c>
      <c r="AE67" s="4">
        <f t="shared" si="41"/>
        <v>0.57719585379159843</v>
      </c>
    </row>
    <row r="68" spans="3:31" x14ac:dyDescent="0.2">
      <c r="C68" s="2">
        <v>94</v>
      </c>
      <c r="D68" s="2">
        <f t="shared" si="14"/>
        <v>369</v>
      </c>
      <c r="E68" s="2">
        <f t="shared" si="15"/>
        <v>222</v>
      </c>
      <c r="F68" s="2">
        <f t="shared" si="16"/>
        <v>591</v>
      </c>
      <c r="G68" s="4">
        <f t="shared" si="17"/>
        <v>0.62436548223350252</v>
      </c>
      <c r="H68" s="2">
        <f t="shared" si="18"/>
        <v>1841</v>
      </c>
      <c r="I68" s="2">
        <f t="shared" si="19"/>
        <v>1663</v>
      </c>
      <c r="J68" s="2">
        <f t="shared" si="20"/>
        <v>504</v>
      </c>
      <c r="K68" s="2">
        <f t="shared" si="21"/>
        <v>836</v>
      </c>
      <c r="L68" s="2">
        <f t="shared" si="22"/>
        <v>492</v>
      </c>
      <c r="M68" s="2">
        <f t="shared" si="23"/>
        <v>151</v>
      </c>
      <c r="N68" s="2">
        <f t="shared" si="24"/>
        <v>65</v>
      </c>
      <c r="O68" s="2">
        <f t="shared" si="25"/>
        <v>703</v>
      </c>
      <c r="P68" s="2">
        <f t="shared" si="26"/>
        <v>576</v>
      </c>
      <c r="Q68" s="2">
        <f t="shared" si="27"/>
        <v>117</v>
      </c>
      <c r="R68" s="2">
        <f t="shared" si="28"/>
        <v>76</v>
      </c>
      <c r="S68" s="2">
        <f t="shared" si="29"/>
        <v>71</v>
      </c>
      <c r="T68" s="2">
        <f t="shared" si="30"/>
        <v>1322</v>
      </c>
      <c r="U68" s="2">
        <f t="shared" si="31"/>
        <v>37</v>
      </c>
      <c r="V68" s="2">
        <f t="shared" si="32"/>
        <v>141</v>
      </c>
      <c r="W68" s="2">
        <f t="shared" si="33"/>
        <v>11</v>
      </c>
      <c r="X68" s="2">
        <f t="shared" si="34"/>
        <v>87</v>
      </c>
      <c r="Y68" s="2">
        <f t="shared" si="35"/>
        <v>1064</v>
      </c>
      <c r="Z68" s="2">
        <f t="shared" si="36"/>
        <v>3109</v>
      </c>
      <c r="AA68" s="2">
        <f t="shared" si="37"/>
        <v>537</v>
      </c>
      <c r="AB68" s="4">
        <f t="shared" si="38"/>
        <v>0.50270595309681299</v>
      </c>
      <c r="AC68" s="4">
        <f t="shared" si="39"/>
        <v>0.914651493598862</v>
      </c>
      <c r="AD68" s="4">
        <f t="shared" si="40"/>
        <v>0.79494888755261572</v>
      </c>
      <c r="AE68" s="4">
        <f t="shared" si="41"/>
        <v>0.57794676806083645</v>
      </c>
    </row>
    <row r="69" spans="3:31" x14ac:dyDescent="0.2">
      <c r="C69" s="2">
        <v>94</v>
      </c>
      <c r="D69" s="2">
        <f t="shared" si="14"/>
        <v>380</v>
      </c>
      <c r="E69" s="2">
        <f t="shared" si="15"/>
        <v>222</v>
      </c>
      <c r="F69" s="2">
        <f t="shared" si="16"/>
        <v>602</v>
      </c>
      <c r="G69" s="4">
        <f t="shared" si="17"/>
        <v>0.6312292358803987</v>
      </c>
      <c r="H69" s="2">
        <f t="shared" si="18"/>
        <v>1871</v>
      </c>
      <c r="I69" s="2">
        <f t="shared" si="19"/>
        <v>1688</v>
      </c>
      <c r="J69" s="2">
        <f t="shared" si="20"/>
        <v>514</v>
      </c>
      <c r="K69" s="2">
        <f t="shared" si="21"/>
        <v>850</v>
      </c>
      <c r="L69" s="2">
        <f t="shared" si="22"/>
        <v>492</v>
      </c>
      <c r="M69" s="2">
        <f t="shared" si="23"/>
        <v>151</v>
      </c>
      <c r="N69" s="2">
        <f t="shared" si="24"/>
        <v>65</v>
      </c>
      <c r="O69" s="2">
        <f t="shared" si="25"/>
        <v>703</v>
      </c>
      <c r="P69" s="2">
        <f t="shared" si="26"/>
        <v>582</v>
      </c>
      <c r="Q69" s="2">
        <f t="shared" si="27"/>
        <v>121</v>
      </c>
      <c r="R69" s="2">
        <f t="shared" si="28"/>
        <v>76</v>
      </c>
      <c r="S69" s="2">
        <f t="shared" si="29"/>
        <v>75</v>
      </c>
      <c r="T69" s="2">
        <f t="shared" si="30"/>
        <v>1352</v>
      </c>
      <c r="U69" s="2">
        <f t="shared" si="31"/>
        <v>39</v>
      </c>
      <c r="V69" s="2">
        <f t="shared" si="32"/>
        <v>144</v>
      </c>
      <c r="W69" s="2">
        <f t="shared" si="33"/>
        <v>11</v>
      </c>
      <c r="X69" s="2">
        <f t="shared" si="34"/>
        <v>88</v>
      </c>
      <c r="Y69" s="2">
        <f t="shared" si="35"/>
        <v>1082</v>
      </c>
      <c r="Z69" s="2">
        <f t="shared" si="36"/>
        <v>3156</v>
      </c>
      <c r="AA69" s="2">
        <f t="shared" si="37"/>
        <v>552</v>
      </c>
      <c r="AB69" s="4">
        <f t="shared" si="38"/>
        <v>0.50355450236966826</v>
      </c>
      <c r="AC69" s="4">
        <f t="shared" si="39"/>
        <v>0.914651493598862</v>
      </c>
      <c r="AD69" s="4">
        <f t="shared" si="40"/>
        <v>0.80094786729857825</v>
      </c>
      <c r="AE69" s="4">
        <f t="shared" si="41"/>
        <v>0.5783003741314805</v>
      </c>
    </row>
    <row r="70" spans="3:31" x14ac:dyDescent="0.2">
      <c r="C70" s="2">
        <v>95</v>
      </c>
      <c r="D70" s="2">
        <f t="shared" si="14"/>
        <v>398</v>
      </c>
      <c r="E70" s="2">
        <f t="shared" si="15"/>
        <v>225</v>
      </c>
      <c r="F70" s="2">
        <f t="shared" si="16"/>
        <v>623</v>
      </c>
      <c r="G70" s="4">
        <f t="shared" si="17"/>
        <v>0.6388443017656501</v>
      </c>
      <c r="H70" s="2">
        <f t="shared" si="18"/>
        <v>1931</v>
      </c>
      <c r="I70" s="2">
        <f t="shared" si="19"/>
        <v>1744</v>
      </c>
      <c r="J70" s="2">
        <f t="shared" si="20"/>
        <v>533</v>
      </c>
      <c r="K70" s="2">
        <f t="shared" si="21"/>
        <v>881</v>
      </c>
      <c r="L70" s="2">
        <f t="shared" si="22"/>
        <v>492</v>
      </c>
      <c r="M70" s="2">
        <f t="shared" si="23"/>
        <v>151</v>
      </c>
      <c r="N70" s="2">
        <f t="shared" si="24"/>
        <v>65</v>
      </c>
      <c r="O70" s="2">
        <f t="shared" si="25"/>
        <v>703</v>
      </c>
      <c r="P70" s="2">
        <f t="shared" si="26"/>
        <v>604</v>
      </c>
      <c r="Q70" s="2">
        <f t="shared" si="27"/>
        <v>127</v>
      </c>
      <c r="R70" s="2">
        <f t="shared" si="28"/>
        <v>77</v>
      </c>
      <c r="S70" s="2">
        <f t="shared" si="29"/>
        <v>77</v>
      </c>
      <c r="T70" s="2">
        <f t="shared" si="30"/>
        <v>1397</v>
      </c>
      <c r="U70" s="2">
        <f t="shared" si="31"/>
        <v>43</v>
      </c>
      <c r="V70" s="2">
        <f t="shared" si="32"/>
        <v>144</v>
      </c>
      <c r="W70" s="2">
        <f t="shared" si="33"/>
        <v>11</v>
      </c>
      <c r="X70" s="2">
        <f t="shared" si="34"/>
        <v>96</v>
      </c>
      <c r="Y70" s="2">
        <f t="shared" si="35"/>
        <v>1121</v>
      </c>
      <c r="Z70" s="2">
        <f t="shared" si="36"/>
        <v>3156</v>
      </c>
      <c r="AA70" s="2">
        <f t="shared" si="37"/>
        <v>573</v>
      </c>
      <c r="AB70" s="4">
        <f t="shared" si="38"/>
        <v>0.50516055045871555</v>
      </c>
      <c r="AC70" s="4">
        <f t="shared" si="39"/>
        <v>0.914651493598862</v>
      </c>
      <c r="AD70" s="4">
        <f t="shared" si="40"/>
        <v>0.80103211009174313</v>
      </c>
      <c r="AE70" s="4">
        <f t="shared" si="41"/>
        <v>0.58052822371828072</v>
      </c>
    </row>
    <row r="71" spans="3:31" x14ac:dyDescent="0.2">
      <c r="C71" s="2">
        <v>95</v>
      </c>
      <c r="D71" s="2">
        <f t="shared" si="14"/>
        <v>410</v>
      </c>
      <c r="E71" s="2">
        <f t="shared" si="15"/>
        <v>226</v>
      </c>
      <c r="F71" s="2">
        <f t="shared" si="16"/>
        <v>636</v>
      </c>
      <c r="G71" s="4">
        <f t="shared" si="17"/>
        <v>0.64465408805031443</v>
      </c>
      <c r="H71" s="2">
        <f t="shared" si="18"/>
        <v>1971</v>
      </c>
      <c r="I71" s="2">
        <f t="shared" si="19"/>
        <v>1776</v>
      </c>
      <c r="J71" s="2">
        <f t="shared" si="20"/>
        <v>554</v>
      </c>
      <c r="K71" s="2">
        <f t="shared" si="21"/>
        <v>900</v>
      </c>
      <c r="L71" s="2">
        <f t="shared" si="22"/>
        <v>492</v>
      </c>
      <c r="M71" s="2">
        <f t="shared" si="23"/>
        <v>151</v>
      </c>
      <c r="N71" s="2">
        <f t="shared" si="24"/>
        <v>65</v>
      </c>
      <c r="O71" s="2">
        <f t="shared" si="25"/>
        <v>703</v>
      </c>
      <c r="P71" s="2">
        <f t="shared" si="26"/>
        <v>614</v>
      </c>
      <c r="Q71" s="2">
        <f t="shared" si="27"/>
        <v>130</v>
      </c>
      <c r="R71" s="2">
        <f t="shared" si="28"/>
        <v>78</v>
      </c>
      <c r="S71" s="2">
        <f t="shared" si="29"/>
        <v>82</v>
      </c>
      <c r="T71" s="2">
        <f t="shared" si="30"/>
        <v>1436</v>
      </c>
      <c r="U71" s="2">
        <f t="shared" si="31"/>
        <v>46</v>
      </c>
      <c r="V71" s="2">
        <f t="shared" si="32"/>
        <v>149</v>
      </c>
      <c r="W71" s="2">
        <f t="shared" si="33"/>
        <v>11</v>
      </c>
      <c r="X71" s="2">
        <f t="shared" si="34"/>
        <v>96</v>
      </c>
      <c r="Y71" s="2">
        <f t="shared" si="35"/>
        <v>1145</v>
      </c>
      <c r="Z71" s="2">
        <f t="shared" si="36"/>
        <v>3156</v>
      </c>
      <c r="AA71" s="2">
        <f t="shared" si="37"/>
        <v>596</v>
      </c>
      <c r="AB71" s="4">
        <f t="shared" si="38"/>
        <v>0.5067567567567568</v>
      </c>
      <c r="AC71" s="4">
        <f t="shared" si="39"/>
        <v>0.914651493598862</v>
      </c>
      <c r="AD71" s="4">
        <f t="shared" si="40"/>
        <v>0.80855855855855852</v>
      </c>
      <c r="AE71" s="4">
        <f t="shared" si="41"/>
        <v>0.58092338914256725</v>
      </c>
    </row>
    <row r="72" spans="3:31" x14ac:dyDescent="0.2">
      <c r="C72" s="2">
        <v>95</v>
      </c>
      <c r="D72" s="2">
        <f t="shared" si="14"/>
        <v>425</v>
      </c>
      <c r="E72" s="2">
        <f t="shared" si="15"/>
        <v>232</v>
      </c>
      <c r="F72" s="2">
        <f t="shared" si="16"/>
        <v>657</v>
      </c>
      <c r="G72" s="4">
        <f t="shared" si="17"/>
        <v>0.64687975646879758</v>
      </c>
      <c r="H72" s="2">
        <f t="shared" si="18"/>
        <v>2037</v>
      </c>
      <c r="I72" s="2">
        <f t="shared" si="19"/>
        <v>1834</v>
      </c>
      <c r="J72" s="2">
        <f t="shared" si="20"/>
        <v>572</v>
      </c>
      <c r="K72" s="2">
        <f t="shared" si="21"/>
        <v>927</v>
      </c>
      <c r="L72" s="2">
        <f t="shared" si="22"/>
        <v>492</v>
      </c>
      <c r="M72" s="2">
        <f t="shared" si="23"/>
        <v>151</v>
      </c>
      <c r="N72" s="2">
        <f t="shared" si="24"/>
        <v>65</v>
      </c>
      <c r="O72" s="2">
        <f t="shared" si="25"/>
        <v>703</v>
      </c>
      <c r="P72" s="2">
        <f t="shared" si="26"/>
        <v>634</v>
      </c>
      <c r="Q72" s="2">
        <f t="shared" si="27"/>
        <v>136</v>
      </c>
      <c r="R72" s="2">
        <f t="shared" si="28"/>
        <v>79</v>
      </c>
      <c r="S72" s="2">
        <f t="shared" si="29"/>
        <v>82</v>
      </c>
      <c r="T72" s="2">
        <f t="shared" si="30"/>
        <v>1471</v>
      </c>
      <c r="U72" s="2">
        <f t="shared" si="31"/>
        <v>47</v>
      </c>
      <c r="V72" s="2">
        <f t="shared" si="32"/>
        <v>156</v>
      </c>
      <c r="W72" s="2">
        <f t="shared" si="33"/>
        <v>11</v>
      </c>
      <c r="X72" s="2">
        <f t="shared" si="34"/>
        <v>101</v>
      </c>
      <c r="Y72" s="2">
        <f t="shared" si="35"/>
        <v>1184</v>
      </c>
      <c r="Z72" s="2">
        <f t="shared" si="36"/>
        <v>3156</v>
      </c>
      <c r="AA72" s="2">
        <f t="shared" si="37"/>
        <v>613</v>
      </c>
      <c r="AB72" s="4">
        <f t="shared" si="38"/>
        <v>0.50545256270447114</v>
      </c>
      <c r="AC72" s="4">
        <f t="shared" si="39"/>
        <v>0.914651493598862</v>
      </c>
      <c r="AD72" s="4">
        <f t="shared" si="40"/>
        <v>0.80207197382769901</v>
      </c>
      <c r="AE72" s="4">
        <f t="shared" si="41"/>
        <v>0.58124693176239572</v>
      </c>
    </row>
    <row r="73" spans="3:31" x14ac:dyDescent="0.2">
      <c r="C73" s="2">
        <v>96</v>
      </c>
      <c r="D73" s="2">
        <f t="shared" si="14"/>
        <v>442</v>
      </c>
      <c r="E73" s="2">
        <f t="shared" si="15"/>
        <v>237</v>
      </c>
      <c r="F73" s="2">
        <f t="shared" si="16"/>
        <v>679</v>
      </c>
      <c r="G73" s="4">
        <f t="shared" si="17"/>
        <v>0.65095729013254788</v>
      </c>
      <c r="H73" s="2">
        <f t="shared" si="18"/>
        <v>2100</v>
      </c>
      <c r="I73" s="2">
        <f t="shared" si="19"/>
        <v>1887</v>
      </c>
      <c r="J73" s="2">
        <f t="shared" si="20"/>
        <v>603</v>
      </c>
      <c r="K73" s="2">
        <f t="shared" si="21"/>
        <v>961</v>
      </c>
      <c r="L73" s="2">
        <f t="shared" si="22"/>
        <v>492</v>
      </c>
      <c r="M73" s="2">
        <f t="shared" si="23"/>
        <v>151</v>
      </c>
      <c r="N73" s="2">
        <f t="shared" si="24"/>
        <v>65</v>
      </c>
      <c r="O73" s="2">
        <f t="shared" si="25"/>
        <v>703</v>
      </c>
      <c r="P73" s="2">
        <f t="shared" si="26"/>
        <v>654</v>
      </c>
      <c r="Q73" s="2">
        <f t="shared" si="27"/>
        <v>144</v>
      </c>
      <c r="R73" s="2">
        <f t="shared" si="28"/>
        <v>84</v>
      </c>
      <c r="S73" s="2">
        <f t="shared" si="29"/>
        <v>83</v>
      </c>
      <c r="T73" s="2">
        <f t="shared" si="30"/>
        <v>1526</v>
      </c>
      <c r="U73" s="2">
        <f t="shared" si="31"/>
        <v>49</v>
      </c>
      <c r="V73" s="2">
        <f t="shared" si="32"/>
        <v>164</v>
      </c>
      <c r="W73" s="2">
        <f t="shared" si="33"/>
        <v>11</v>
      </c>
      <c r="X73" s="2">
        <f t="shared" si="34"/>
        <v>104</v>
      </c>
      <c r="Y73" s="2">
        <f t="shared" si="35"/>
        <v>1229</v>
      </c>
      <c r="Z73" s="2">
        <f t="shared" si="36"/>
        <v>3156</v>
      </c>
      <c r="AA73" s="2">
        <f t="shared" si="37"/>
        <v>642</v>
      </c>
      <c r="AB73" s="4">
        <f t="shared" si="38"/>
        <v>0.50927397986221512</v>
      </c>
      <c r="AC73" s="4">
        <f t="shared" si="39"/>
        <v>0.914651493598862</v>
      </c>
      <c r="AD73" s="4">
        <f t="shared" si="40"/>
        <v>0.80869104398516167</v>
      </c>
      <c r="AE73" s="4">
        <f t="shared" si="41"/>
        <v>0.58523809523809522</v>
      </c>
    </row>
    <row r="74" spans="3:31" x14ac:dyDescent="0.2">
      <c r="C74" s="2">
        <v>96</v>
      </c>
      <c r="D74" s="2">
        <f t="shared" si="14"/>
        <v>453</v>
      </c>
      <c r="E74" s="2">
        <f t="shared" si="15"/>
        <v>238</v>
      </c>
      <c r="F74" s="2">
        <f t="shared" si="16"/>
        <v>691</v>
      </c>
      <c r="G74" s="4">
        <f t="shared" si="17"/>
        <v>0.65557163531114326</v>
      </c>
      <c r="H74" s="2">
        <f t="shared" si="18"/>
        <v>2130</v>
      </c>
      <c r="I74" s="2">
        <f t="shared" si="19"/>
        <v>1913</v>
      </c>
      <c r="J74" s="2">
        <f t="shared" si="20"/>
        <v>616</v>
      </c>
      <c r="K74" s="2">
        <f t="shared" si="21"/>
        <v>976</v>
      </c>
      <c r="L74" s="2">
        <f t="shared" si="22"/>
        <v>492</v>
      </c>
      <c r="M74" s="2">
        <f t="shared" si="23"/>
        <v>151</v>
      </c>
      <c r="N74" s="2">
        <f t="shared" si="24"/>
        <v>65</v>
      </c>
      <c r="O74" s="2">
        <f t="shared" si="25"/>
        <v>703</v>
      </c>
      <c r="P74" s="2">
        <f t="shared" si="26"/>
        <v>667</v>
      </c>
      <c r="Q74" s="2">
        <f t="shared" si="27"/>
        <v>145</v>
      </c>
      <c r="R74" s="2">
        <f t="shared" si="28"/>
        <v>85</v>
      </c>
      <c r="S74" s="2">
        <f t="shared" si="29"/>
        <v>83</v>
      </c>
      <c r="T74" s="2">
        <f t="shared" si="30"/>
        <v>1544</v>
      </c>
      <c r="U74" s="2">
        <f t="shared" si="31"/>
        <v>49</v>
      </c>
      <c r="V74" s="2">
        <f t="shared" si="32"/>
        <v>168</v>
      </c>
      <c r="W74" s="2">
        <f t="shared" si="33"/>
        <v>11</v>
      </c>
      <c r="X74" s="2">
        <f t="shared" si="34"/>
        <v>105</v>
      </c>
      <c r="Y74" s="2">
        <f t="shared" si="35"/>
        <v>1249</v>
      </c>
      <c r="Z74" s="2">
        <f t="shared" si="36"/>
        <v>3156</v>
      </c>
      <c r="AA74" s="2">
        <f t="shared" si="37"/>
        <v>647</v>
      </c>
      <c r="AB74" s="4">
        <f t="shared" si="38"/>
        <v>0.51019341348667013</v>
      </c>
      <c r="AC74" s="4">
        <f t="shared" si="39"/>
        <v>0.914651493598862</v>
      </c>
      <c r="AD74" s="4">
        <f t="shared" si="40"/>
        <v>0.80710925248301102</v>
      </c>
      <c r="AE74" s="4">
        <f t="shared" si="41"/>
        <v>0.58638497652582156</v>
      </c>
    </row>
    <row r="75" spans="3:31" x14ac:dyDescent="0.2">
      <c r="C75" s="2">
        <v>96</v>
      </c>
      <c r="D75" s="2">
        <f t="shared" si="14"/>
        <v>461</v>
      </c>
      <c r="E75" s="2">
        <f t="shared" si="15"/>
        <v>240</v>
      </c>
      <c r="F75" s="2">
        <f t="shared" si="16"/>
        <v>701</v>
      </c>
      <c r="G75" s="4">
        <f t="shared" si="17"/>
        <v>0.65763195435092725</v>
      </c>
      <c r="H75" s="2">
        <f t="shared" si="18"/>
        <v>2161</v>
      </c>
      <c r="I75" s="2">
        <f t="shared" si="19"/>
        <v>1943</v>
      </c>
      <c r="J75" s="2">
        <f t="shared" si="20"/>
        <v>629</v>
      </c>
      <c r="K75" s="2">
        <f t="shared" si="21"/>
        <v>991</v>
      </c>
      <c r="L75" s="2">
        <f t="shared" si="22"/>
        <v>492</v>
      </c>
      <c r="M75" s="2">
        <f t="shared" si="23"/>
        <v>151</v>
      </c>
      <c r="N75" s="2">
        <f t="shared" si="24"/>
        <v>65</v>
      </c>
      <c r="O75" s="2">
        <f t="shared" si="25"/>
        <v>703</v>
      </c>
      <c r="P75" s="2">
        <f t="shared" si="26"/>
        <v>675</v>
      </c>
      <c r="Q75" s="2">
        <f t="shared" si="27"/>
        <v>147</v>
      </c>
      <c r="R75" s="2">
        <f t="shared" si="28"/>
        <v>86</v>
      </c>
      <c r="S75" s="2">
        <f t="shared" si="29"/>
        <v>87</v>
      </c>
      <c r="T75" s="2">
        <f t="shared" si="30"/>
        <v>1575</v>
      </c>
      <c r="U75" s="2">
        <f t="shared" si="31"/>
        <v>50</v>
      </c>
      <c r="V75" s="2">
        <f t="shared" si="32"/>
        <v>168</v>
      </c>
      <c r="W75" s="2">
        <f t="shared" si="33"/>
        <v>12</v>
      </c>
      <c r="X75" s="2">
        <f t="shared" si="34"/>
        <v>106</v>
      </c>
      <c r="Y75" s="2">
        <f t="shared" si="35"/>
        <v>1265</v>
      </c>
      <c r="Z75" s="2">
        <f t="shared" si="36"/>
        <v>3156</v>
      </c>
      <c r="AA75" s="2">
        <f t="shared" si="37"/>
        <v>666</v>
      </c>
      <c r="AB75" s="4">
        <f t="shared" si="38"/>
        <v>0.51003602676273807</v>
      </c>
      <c r="AC75" s="4">
        <f t="shared" si="39"/>
        <v>0.914651493598862</v>
      </c>
      <c r="AD75" s="4">
        <f t="shared" si="40"/>
        <v>0.81060216160576426</v>
      </c>
      <c r="AE75" s="4">
        <f t="shared" si="41"/>
        <v>0.58537714021286447</v>
      </c>
    </row>
    <row r="76" spans="3:31" x14ac:dyDescent="0.2">
      <c r="P76" s="5"/>
    </row>
    <row r="77" spans="3:31" x14ac:dyDescent="0.2">
      <c r="D77" t="s">
        <v>61</v>
      </c>
      <c r="G77" s="1" t="s">
        <v>62</v>
      </c>
      <c r="K77" s="5" t="s">
        <v>63</v>
      </c>
      <c r="P77" s="5" t="s">
        <v>64</v>
      </c>
      <c r="S77" s="5" t="s">
        <v>65</v>
      </c>
      <c r="V77" s="5" t="s">
        <v>66</v>
      </c>
      <c r="Z77" s="6" t="s">
        <v>67</v>
      </c>
      <c r="AC77" s="3" t="s">
        <v>68</v>
      </c>
    </row>
    <row r="78" spans="3:31" x14ac:dyDescent="0.2">
      <c r="D78" t="s">
        <v>69</v>
      </c>
      <c r="G78" s="1" t="s">
        <v>70</v>
      </c>
      <c r="K78" s="5" t="s">
        <v>71</v>
      </c>
      <c r="P78" s="5" t="s">
        <v>72</v>
      </c>
      <c r="S78" s="5" t="s">
        <v>73</v>
      </c>
      <c r="V78" s="5" t="s">
        <v>74</v>
      </c>
      <c r="Z78" s="6" t="s">
        <v>75</v>
      </c>
      <c r="AD78" s="4" t="s">
        <v>76</v>
      </c>
    </row>
    <row r="79" spans="3:31" x14ac:dyDescent="0.2">
      <c r="D79" t="s">
        <v>77</v>
      </c>
      <c r="G79" s="1" t="s">
        <v>78</v>
      </c>
      <c r="K79" s="5" t="s">
        <v>79</v>
      </c>
      <c r="P79" s="5" t="s">
        <v>80</v>
      </c>
      <c r="S79" s="5" t="s">
        <v>81</v>
      </c>
      <c r="V79" s="5" t="s">
        <v>82</v>
      </c>
      <c r="Z79" s="6" t="s">
        <v>83</v>
      </c>
    </row>
    <row r="80" spans="3:31" x14ac:dyDescent="0.2">
      <c r="D80" t="s">
        <v>84</v>
      </c>
      <c r="G80" s="1" t="s">
        <v>85</v>
      </c>
      <c r="K80" s="5" t="s">
        <v>86</v>
      </c>
      <c r="P80" s="5" t="s">
        <v>87</v>
      </c>
      <c r="S80" s="5" t="s">
        <v>88</v>
      </c>
      <c r="V80" s="5" t="s">
        <v>89</v>
      </c>
      <c r="Z80" s="6" t="s">
        <v>90</v>
      </c>
    </row>
    <row r="81" spans="1:26" x14ac:dyDescent="0.2">
      <c r="Z81"/>
    </row>
    <row r="82" spans="1:26" x14ac:dyDescent="0.2">
      <c r="B82" t="s">
        <v>91</v>
      </c>
      <c r="C82" s="7">
        <f ca="1">TODAY()</f>
        <v>43728</v>
      </c>
    </row>
    <row r="86" spans="1:26" x14ac:dyDescent="0.2">
      <c r="A86" s="2"/>
      <c r="B86" s="2"/>
    </row>
    <row r="88" spans="1:26" x14ac:dyDescent="0.2">
      <c r="A88" s="2"/>
      <c r="B88" s="2"/>
    </row>
    <row r="89" spans="1:26" x14ac:dyDescent="0.2">
      <c r="A89" s="2"/>
      <c r="B89" s="2"/>
    </row>
    <row r="90" spans="1:26" x14ac:dyDescent="0.2">
      <c r="A90" s="2"/>
      <c r="B90" s="2"/>
    </row>
    <row r="91" spans="1:26" x14ac:dyDescent="0.2">
      <c r="A91" s="2"/>
      <c r="B91" s="2"/>
    </row>
    <row r="92" spans="1:26" x14ac:dyDescent="0.2">
      <c r="A92" s="2"/>
      <c r="B92" s="2"/>
    </row>
    <row r="93" spans="1:26" x14ac:dyDescent="0.2">
      <c r="A93" s="2"/>
      <c r="B93" s="2"/>
    </row>
    <row r="94" spans="1:26" x14ac:dyDescent="0.2">
      <c r="A94" s="2"/>
      <c r="B94" s="2"/>
    </row>
    <row r="95" spans="1:26" x14ac:dyDescent="0.2">
      <c r="A95" s="2"/>
      <c r="B95" s="2"/>
    </row>
    <row r="96" spans="1:26" x14ac:dyDescent="0.2">
      <c r="A96" s="2"/>
      <c r="B96" s="2"/>
    </row>
    <row r="97" spans="1:2" x14ac:dyDescent="0.2">
      <c r="A97" s="2"/>
      <c r="B97" s="2"/>
    </row>
    <row r="98" spans="1:2" x14ac:dyDescent="0.2">
      <c r="A98" s="2"/>
      <c r="B98" s="2"/>
    </row>
    <row r="99" spans="1:2" x14ac:dyDescent="0.2">
      <c r="A99" s="2"/>
      <c r="B99" s="2"/>
    </row>
    <row r="100" spans="1:2" x14ac:dyDescent="0.2">
      <c r="A100" s="2"/>
      <c r="B100" s="2"/>
    </row>
    <row r="101" spans="1:2" x14ac:dyDescent="0.2">
      <c r="A101" s="2"/>
      <c r="B101" s="2"/>
    </row>
    <row r="102" spans="1:2" x14ac:dyDescent="0.2">
      <c r="A102" s="2"/>
      <c r="B102" s="2"/>
    </row>
    <row r="103" spans="1:2" x14ac:dyDescent="0.2">
      <c r="A103" s="2"/>
      <c r="B103" s="2"/>
    </row>
    <row r="104" spans="1:2" x14ac:dyDescent="0.2">
      <c r="A104" s="2"/>
      <c r="B104" s="2"/>
    </row>
    <row r="105" spans="1:2" x14ac:dyDescent="0.2">
      <c r="A105" s="2"/>
      <c r="B105" s="2"/>
    </row>
    <row r="106" spans="1:2" x14ac:dyDescent="0.2">
      <c r="A106" s="2"/>
      <c r="B106" s="2"/>
    </row>
  </sheetData>
  <pageMargins left="0.75" right="0.75" top="1" bottom="1" header="0.5" footer="0.5"/>
  <pageSetup paperSize="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PZ.xls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Zwilling, Michael</cp:lastModifiedBy>
  <dcterms:created xsi:type="dcterms:W3CDTF">2005-07-17T03:14:19Z</dcterms:created>
  <dcterms:modified xsi:type="dcterms:W3CDTF">2023-09-21T14:25:11Z</dcterms:modified>
</cp:coreProperties>
</file>