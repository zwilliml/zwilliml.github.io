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michaelzwilling/Desktop/ZwillingWeb/sbStuff/"/>
    </mc:Choice>
  </mc:AlternateContent>
  <xr:revisionPtr revIDLastSave="0" documentId="8_{CDC6396C-EDF4-A640-8FEA-0D3B67DBD78F}" xr6:coauthVersionLast="47" xr6:coauthVersionMax="47" xr10:uidLastSave="{00000000-0000-0000-0000-000000000000}"/>
  <bookViews>
    <workbookView xWindow="100" yWindow="500" windowWidth="18120" windowHeight="13940" tabRatio="500"/>
  </bookViews>
  <sheets>
    <sheet name="TZ Lifetime SoftB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G25" i="1" s="1"/>
  <c r="H9" i="1"/>
  <c r="O9" i="1"/>
  <c r="O17" i="1" s="1"/>
  <c r="AC17" i="1" s="1"/>
  <c r="O25" i="1"/>
  <c r="T9" i="1"/>
  <c r="Y9" i="1"/>
  <c r="AB9" i="1"/>
  <c r="AB25" i="1" s="1"/>
  <c r="AC9" i="1"/>
  <c r="AC25" i="1" s="1"/>
  <c r="AD9" i="1"/>
  <c r="AD25" i="1" s="1"/>
  <c r="AE9" i="1"/>
  <c r="AE25" i="1" s="1"/>
  <c r="D25" i="1"/>
  <c r="D26" i="1" s="1"/>
  <c r="E25" i="1"/>
  <c r="E26" i="1"/>
  <c r="E27" i="1" s="1"/>
  <c r="E28" i="1" s="1"/>
  <c r="E29" i="1" s="1"/>
  <c r="E30" i="1" s="1"/>
  <c r="E31" i="1" s="1"/>
  <c r="F25" i="1"/>
  <c r="H25" i="1"/>
  <c r="I25" i="1"/>
  <c r="I26" i="1"/>
  <c r="I27" i="1" s="1"/>
  <c r="J25" i="1"/>
  <c r="K25" i="1"/>
  <c r="L25" i="1"/>
  <c r="M25" i="1"/>
  <c r="M26" i="1"/>
  <c r="M27" i="1" s="1"/>
  <c r="N25" i="1"/>
  <c r="N26" i="1" s="1"/>
  <c r="N27" i="1" s="1"/>
  <c r="N28" i="1" s="1"/>
  <c r="N29" i="1" s="1"/>
  <c r="N30" i="1" s="1"/>
  <c r="N31" i="1" s="1"/>
  <c r="P25" i="1"/>
  <c r="P26" i="1" s="1"/>
  <c r="P27" i="1" s="1"/>
  <c r="P28" i="1" s="1"/>
  <c r="P29" i="1" s="1"/>
  <c r="P30" i="1" s="1"/>
  <c r="P31" i="1" s="1"/>
  <c r="Q25" i="1"/>
  <c r="Q26" i="1"/>
  <c r="Q27" i="1"/>
  <c r="Q28" i="1" s="1"/>
  <c r="Q29" i="1" s="1"/>
  <c r="Q30" i="1" s="1"/>
  <c r="Q31" i="1" s="1"/>
  <c r="R25" i="1"/>
  <c r="S25" i="1"/>
  <c r="T25" i="1"/>
  <c r="T26" i="1" s="1"/>
  <c r="U25" i="1"/>
  <c r="U26" i="1"/>
  <c r="U27" i="1"/>
  <c r="U28" i="1" s="1"/>
  <c r="U29" i="1" s="1"/>
  <c r="U30" i="1" s="1"/>
  <c r="U31" i="1" s="1"/>
  <c r="V25" i="1"/>
  <c r="V26" i="1" s="1"/>
  <c r="V27" i="1" s="1"/>
  <c r="V28" i="1" s="1"/>
  <c r="V29" i="1" s="1"/>
  <c r="V30" i="1" s="1"/>
  <c r="V31" i="1" s="1"/>
  <c r="W25" i="1"/>
  <c r="W26" i="1" s="1"/>
  <c r="W27" i="1" s="1"/>
  <c r="W28" i="1" s="1"/>
  <c r="W29" i="1" s="1"/>
  <c r="W30" i="1" s="1"/>
  <c r="W31" i="1" s="1"/>
  <c r="X25" i="1"/>
  <c r="Y25" i="1"/>
  <c r="Y26" i="1"/>
  <c r="AE26" i="1" s="1"/>
  <c r="Z25" i="1"/>
  <c r="Z26" i="1" s="1"/>
  <c r="Z27" i="1" s="1"/>
  <c r="Z28" i="1" s="1"/>
  <c r="Z29" i="1" s="1"/>
  <c r="Z30" i="1" s="1"/>
  <c r="Z31" i="1" s="1"/>
  <c r="AA25" i="1"/>
  <c r="F10" i="1"/>
  <c r="F17" i="1" s="1"/>
  <c r="G10" i="1"/>
  <c r="H10" i="1"/>
  <c r="H17" i="1" s="1"/>
  <c r="O10" i="1"/>
  <c r="AC10" i="1" s="1"/>
  <c r="T10" i="1"/>
  <c r="AD10" i="1" s="1"/>
  <c r="Y10" i="1"/>
  <c r="AB10" i="1"/>
  <c r="F26" i="1"/>
  <c r="H26" i="1"/>
  <c r="H27" i="1" s="1"/>
  <c r="H28" i="1" s="1"/>
  <c r="H29" i="1" s="1"/>
  <c r="H30" i="1" s="1"/>
  <c r="H31" i="1" s="1"/>
  <c r="J26" i="1"/>
  <c r="J27" i="1" s="1"/>
  <c r="J28" i="1" s="1"/>
  <c r="J29" i="1" s="1"/>
  <c r="J30" i="1" s="1"/>
  <c r="J31" i="1" s="1"/>
  <c r="K26" i="1"/>
  <c r="L26" i="1"/>
  <c r="R26" i="1"/>
  <c r="S26" i="1"/>
  <c r="S27" i="1"/>
  <c r="S28" i="1"/>
  <c r="S29" i="1"/>
  <c r="S30" i="1"/>
  <c r="S31" i="1" s="1"/>
  <c r="X26" i="1"/>
  <c r="X27" i="1" s="1"/>
  <c r="X28" i="1" s="1"/>
  <c r="X29" i="1" s="1"/>
  <c r="X30" i="1" s="1"/>
  <c r="X31" i="1" s="1"/>
  <c r="AA26" i="1"/>
  <c r="AA27" i="1"/>
  <c r="AA28" i="1"/>
  <c r="AA29" i="1"/>
  <c r="AA30" i="1"/>
  <c r="AA31" i="1"/>
  <c r="F11" i="1"/>
  <c r="G11" i="1"/>
  <c r="H11" i="1"/>
  <c r="AE11" i="1" s="1"/>
  <c r="O11" i="1"/>
  <c r="T11" i="1"/>
  <c r="Y11" i="1"/>
  <c r="AB11" i="1"/>
  <c r="AC11" i="1"/>
  <c r="AD11" i="1"/>
  <c r="F27" i="1"/>
  <c r="F28" i="1" s="1"/>
  <c r="F29" i="1" s="1"/>
  <c r="F30" i="1" s="1"/>
  <c r="F31" i="1" s="1"/>
  <c r="L27" i="1"/>
  <c r="R27" i="1"/>
  <c r="F12" i="1"/>
  <c r="G12" i="1" s="1"/>
  <c r="H12" i="1"/>
  <c r="O12" i="1"/>
  <c r="T12" i="1"/>
  <c r="Y12" i="1"/>
  <c r="AE12" i="1" s="1"/>
  <c r="AB12" i="1"/>
  <c r="AC12" i="1"/>
  <c r="AD12" i="1"/>
  <c r="L28" i="1"/>
  <c r="R28" i="1"/>
  <c r="R29" i="1" s="1"/>
  <c r="R30" i="1" s="1"/>
  <c r="R31" i="1" s="1"/>
  <c r="F13" i="1"/>
  <c r="G13" i="1"/>
  <c r="H13" i="1"/>
  <c r="O13" i="1"/>
  <c r="AC13" i="1" s="1"/>
  <c r="T13" i="1"/>
  <c r="AD13" i="1" s="1"/>
  <c r="Y13" i="1"/>
  <c r="AE13" i="1" s="1"/>
  <c r="AB13" i="1"/>
  <c r="L29" i="1"/>
  <c r="L30" i="1" s="1"/>
  <c r="F14" i="1"/>
  <c r="G14" i="1"/>
  <c r="H14" i="1"/>
  <c r="AE14" i="1" s="1"/>
  <c r="O14" i="1"/>
  <c r="AC14" i="1" s="1"/>
  <c r="T14" i="1"/>
  <c r="AD14" i="1" s="1"/>
  <c r="Y14" i="1"/>
  <c r="AB14" i="1"/>
  <c r="F15" i="1"/>
  <c r="G15" i="1"/>
  <c r="H15" i="1"/>
  <c r="O15" i="1"/>
  <c r="T15" i="1"/>
  <c r="Y15" i="1"/>
  <c r="AE15" i="1" s="1"/>
  <c r="AB15" i="1"/>
  <c r="AC15" i="1"/>
  <c r="AD15" i="1"/>
  <c r="D17" i="1"/>
  <c r="G17" i="1" s="1"/>
  <c r="E17" i="1"/>
  <c r="I17" i="1"/>
  <c r="J17" i="1"/>
  <c r="K17" i="1"/>
  <c r="AB17" i="1" s="1"/>
  <c r="L17" i="1"/>
  <c r="M17" i="1"/>
  <c r="N17" i="1"/>
  <c r="P17" i="1"/>
  <c r="Q17" i="1"/>
  <c r="R17" i="1"/>
  <c r="S17" i="1"/>
  <c r="U17" i="1"/>
  <c r="V17" i="1"/>
  <c r="W17" i="1"/>
  <c r="X17" i="1"/>
  <c r="Z17" i="1"/>
  <c r="AA17" i="1"/>
  <c r="Y27" i="1"/>
  <c r="AE27" i="1" s="1"/>
  <c r="AB26" i="1"/>
  <c r="K27" i="1"/>
  <c r="K28" i="1"/>
  <c r="K29" i="1"/>
  <c r="K30" i="1" s="1"/>
  <c r="L31" i="1" l="1"/>
  <c r="AB27" i="1"/>
  <c r="I28" i="1"/>
  <c r="M28" i="1"/>
  <c r="M29" i="1" s="1"/>
  <c r="M30" i="1" s="1"/>
  <c r="M31" i="1" s="1"/>
  <c r="AD26" i="1"/>
  <c r="T27" i="1"/>
  <c r="K31" i="1"/>
  <c r="G26" i="1"/>
  <c r="D27" i="1"/>
  <c r="O26" i="1"/>
  <c r="T17" i="1"/>
  <c r="AD17" i="1" s="1"/>
  <c r="AE10" i="1"/>
  <c r="Y28" i="1"/>
  <c r="Y17" i="1"/>
  <c r="AE17" i="1" s="1"/>
  <c r="I29" i="1" l="1"/>
  <c r="AB28" i="1"/>
  <c r="AD27" i="1"/>
  <c r="T28" i="1"/>
  <c r="AE28" i="1"/>
  <c r="Y29" i="1"/>
  <c r="AC26" i="1"/>
  <c r="O27" i="1"/>
  <c r="G27" i="1"/>
  <c r="D28" i="1"/>
  <c r="O28" i="1" l="1"/>
  <c r="AC27" i="1"/>
  <c r="AE29" i="1"/>
  <c r="Y30" i="1"/>
  <c r="D29" i="1"/>
  <c r="G28" i="1"/>
  <c r="T29" i="1"/>
  <c r="AD28" i="1"/>
  <c r="AB29" i="1"/>
  <c r="I30" i="1"/>
  <c r="I31" i="1" l="1"/>
  <c r="AB31" i="1" s="1"/>
  <c r="AB30" i="1"/>
  <c r="AD29" i="1"/>
  <c r="T30" i="1"/>
  <c r="G29" i="1"/>
  <c r="D30" i="1"/>
  <c r="AE30" i="1"/>
  <c r="Y31" i="1"/>
  <c r="AE31" i="1" s="1"/>
  <c r="O29" i="1"/>
  <c r="AC28" i="1"/>
  <c r="O30" i="1" l="1"/>
  <c r="AC29" i="1"/>
  <c r="G30" i="1"/>
  <c r="D31" i="1"/>
  <c r="G31" i="1" s="1"/>
  <c r="T31" i="1"/>
  <c r="AD31" i="1" s="1"/>
  <c r="AD30" i="1"/>
  <c r="O31" i="1" l="1"/>
  <c r="AC31" i="1" s="1"/>
  <c r="AC30" i="1"/>
</calcChain>
</file>

<file path=xl/sharedStrings.xml><?xml version="1.0" encoding="utf-8"?>
<sst xmlns="http://schemas.openxmlformats.org/spreadsheetml/2006/main" count="107" uniqueCount="70">
  <si>
    <t>Tom Zwilling</t>
  </si>
  <si>
    <t>Cumulative Totals</t>
  </si>
  <si>
    <t>Lifetime Softball Statistics</t>
  </si>
  <si>
    <t>Year</t>
  </si>
  <si>
    <t>Team</t>
  </si>
  <si>
    <t>Manager</t>
  </si>
  <si>
    <t>W</t>
  </si>
  <si>
    <t>L</t>
  </si>
  <si>
    <t>NG</t>
  </si>
  <si>
    <t>Pct</t>
  </si>
  <si>
    <t>PA</t>
  </si>
  <si>
    <t>AB</t>
  </si>
  <si>
    <t>R</t>
  </si>
  <si>
    <t>H</t>
  </si>
  <si>
    <t>PO</t>
  </si>
  <si>
    <t>A</t>
  </si>
  <si>
    <t>E</t>
  </si>
  <si>
    <t>FCh</t>
  </si>
  <si>
    <t>1B</t>
  </si>
  <si>
    <t>2B</t>
  </si>
  <si>
    <t>3B</t>
  </si>
  <si>
    <t>HR</t>
  </si>
  <si>
    <t>TB</t>
  </si>
  <si>
    <t>Sac</t>
  </si>
  <si>
    <t>BB</t>
  </si>
  <si>
    <t>K</t>
  </si>
  <si>
    <t>SOE</t>
  </si>
  <si>
    <t>TOB</t>
  </si>
  <si>
    <t>IP</t>
  </si>
  <si>
    <t>RBI</t>
  </si>
  <si>
    <t>BA</t>
  </si>
  <si>
    <t>FA</t>
  </si>
  <si>
    <t>SA</t>
  </si>
  <si>
    <t>OBPct</t>
  </si>
  <si>
    <t>Sumner Merchants</t>
  </si>
  <si>
    <t>Jess Brian</t>
  </si>
  <si>
    <t>Bridgeport Merchants</t>
  </si>
  <si>
    <t>Steve Andrews</t>
  </si>
  <si>
    <t>Kurland Steel</t>
  </si>
  <si>
    <t>Dave Powers</t>
  </si>
  <si>
    <t>Lifetime Totals</t>
  </si>
  <si>
    <t>W - Wins</t>
  </si>
  <si>
    <t>PA - Plate Appearances</t>
  </si>
  <si>
    <t>PO - Put Outs</t>
  </si>
  <si>
    <t>1B - Singles</t>
  </si>
  <si>
    <t>TB - Total Bases</t>
  </si>
  <si>
    <t>SOE - Safe On Error</t>
  </si>
  <si>
    <t>RBI - Runs Batted In</t>
  </si>
  <si>
    <t>L - Losses</t>
  </si>
  <si>
    <t>AB - At Bats</t>
  </si>
  <si>
    <t>A - Assists</t>
  </si>
  <si>
    <t>2B - Doubles</t>
  </si>
  <si>
    <t>Sac - Sacrifices</t>
  </si>
  <si>
    <t xml:space="preserve">     or fielder's choice</t>
  </si>
  <si>
    <t>BA - Batting Average</t>
  </si>
  <si>
    <t>NG - Number of Games</t>
  </si>
  <si>
    <t>R - Runs</t>
  </si>
  <si>
    <t>E - Errors</t>
  </si>
  <si>
    <t>3B - Triples</t>
  </si>
  <si>
    <t>BB - Base on Balls</t>
  </si>
  <si>
    <t>TOB - Times On Base</t>
  </si>
  <si>
    <t>FA - Fielding Average</t>
  </si>
  <si>
    <t>Pct  - Percentage</t>
  </si>
  <si>
    <t>H - Hits</t>
  </si>
  <si>
    <t>FCh - Fielding Chances</t>
  </si>
  <si>
    <t>HR - Home Runs</t>
  </si>
  <si>
    <t>K - Strike outs</t>
  </si>
  <si>
    <t>IP - Innings Played</t>
  </si>
  <si>
    <t>SA - Slugging Average</t>
  </si>
  <si>
    <t>OBPct - On Base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</si>
</sst>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" x14ac:knownFonts="1">
    <font>
      <sz val="10"/>
      <name val="Geneva"/>
    </font>
    <font>
      <sz val="18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63"/>
  <sheetViews>
    <sheetView tabSelected="1" workbookViewId="0">
      <selection activeCell="C5" sqref="C5"/>
    </sheetView>
  </sheetViews>
  <sheetFormatPr baseColWidth="10" defaultRowHeight="14" x14ac:dyDescent="0.2"/>
  <cols>
    <col min="1" max="1" width="5.7109375" customWidth="1"/>
    <col min="2" max="2" width="20" customWidth="1"/>
    <col min="3" max="3" width="16" customWidth="1"/>
    <col min="4" max="6" width="7.140625" customWidth="1"/>
    <col min="7" max="7" width="7.140625" style="1" customWidth="1"/>
    <col min="8" max="8" width="7.140625" customWidth="1"/>
    <col min="9" max="25" width="7.140625" style="2" customWidth="1"/>
    <col min="26" max="26" width="7.140625" style="3" customWidth="1"/>
    <col min="27" max="27" width="7.140625" style="2" customWidth="1"/>
    <col min="28" max="31" width="7.140625" style="4" customWidth="1"/>
    <col min="32" max="55" width="5.7109375" customWidth="1"/>
    <col min="56" max="56" width="7.42578125" customWidth="1"/>
    <col min="57" max="63" width="5.7109375" customWidth="1"/>
  </cols>
  <sheetData>
    <row r="3" spans="1:31" ht="24" x14ac:dyDescent="0.3">
      <c r="C3" s="7" t="s">
        <v>0</v>
      </c>
    </row>
    <row r="4" spans="1:31" x14ac:dyDescent="0.2">
      <c r="C4" t="s">
        <v>2</v>
      </c>
    </row>
    <row r="7" spans="1:31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4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3" t="s">
        <v>28</v>
      </c>
      <c r="AA7" s="2" t="s">
        <v>29</v>
      </c>
      <c r="AB7" s="4" t="s">
        <v>30</v>
      </c>
      <c r="AC7" s="4" t="s">
        <v>31</v>
      </c>
      <c r="AD7" s="4" t="s">
        <v>32</v>
      </c>
      <c r="AE7" s="4" t="s">
        <v>33</v>
      </c>
    </row>
    <row r="9" spans="1:31" x14ac:dyDescent="0.2">
      <c r="A9" s="2">
        <v>74</v>
      </c>
      <c r="B9" s="2" t="s">
        <v>34</v>
      </c>
      <c r="C9" s="2" t="s">
        <v>35</v>
      </c>
      <c r="D9" s="2">
        <v>14</v>
      </c>
      <c r="E9" s="2">
        <v>16</v>
      </c>
      <c r="F9" s="2">
        <f t="shared" ref="F9:F15" si="0">D9+E9</f>
        <v>30</v>
      </c>
      <c r="G9" s="4">
        <f t="shared" ref="G9:G15" si="1">D9/F9</f>
        <v>0.46666666666666667</v>
      </c>
      <c r="H9" s="2">
        <f t="shared" ref="H9:H15" si="2">I9+U9+V9</f>
        <v>6</v>
      </c>
      <c r="I9" s="2">
        <v>6</v>
      </c>
      <c r="J9" s="2">
        <v>1</v>
      </c>
      <c r="K9" s="2">
        <v>2</v>
      </c>
      <c r="L9" s="2">
        <v>3</v>
      </c>
      <c r="M9" s="2">
        <v>1</v>
      </c>
      <c r="N9" s="2">
        <v>4</v>
      </c>
      <c r="O9" s="2">
        <f t="shared" ref="O9:O15" si="3">L9+M9+N9</f>
        <v>8</v>
      </c>
      <c r="P9" s="2">
        <v>2</v>
      </c>
      <c r="Q9" s="2">
        <v>0</v>
      </c>
      <c r="R9" s="2">
        <v>0</v>
      </c>
      <c r="S9" s="2">
        <v>0</v>
      </c>
      <c r="T9" s="2">
        <f t="shared" ref="T9:T15" si="4">P9+2*Q9+3*R9+4*S9</f>
        <v>2</v>
      </c>
      <c r="U9" s="2">
        <v>0</v>
      </c>
      <c r="V9" s="2">
        <v>0</v>
      </c>
      <c r="W9" s="2">
        <v>0</v>
      </c>
      <c r="X9" s="2">
        <v>1</v>
      </c>
      <c r="Y9" s="2">
        <f t="shared" ref="Y9:Y15" si="5">K9+V9+X9</f>
        <v>3</v>
      </c>
      <c r="Z9" s="3">
        <v>13.5</v>
      </c>
      <c r="AA9" s="2">
        <v>0</v>
      </c>
      <c r="AB9" s="4">
        <f t="shared" ref="AB9:AB15" si="6">K9/I9</f>
        <v>0.33333333333333331</v>
      </c>
      <c r="AC9" s="4">
        <f t="shared" ref="AC9:AC15" si="7">(L9+M9)/O9</f>
        <v>0.5</v>
      </c>
      <c r="AD9" s="4">
        <f t="shared" ref="AD9:AD15" si="8">T9/I9</f>
        <v>0.33333333333333331</v>
      </c>
      <c r="AE9" s="4">
        <f t="shared" ref="AE9:AE15" si="9">Y9/H9</f>
        <v>0.5</v>
      </c>
    </row>
    <row r="10" spans="1:31" x14ac:dyDescent="0.2">
      <c r="A10" s="2">
        <v>75</v>
      </c>
      <c r="B10" s="2" t="s">
        <v>36</v>
      </c>
      <c r="C10" s="2" t="s">
        <v>37</v>
      </c>
      <c r="D10" s="2">
        <v>15</v>
      </c>
      <c r="E10" s="2">
        <v>12</v>
      </c>
      <c r="F10" s="2">
        <f t="shared" si="0"/>
        <v>27</v>
      </c>
      <c r="G10" s="4">
        <f t="shared" si="1"/>
        <v>0.55555555555555558</v>
      </c>
      <c r="H10" s="2">
        <f t="shared" si="2"/>
        <v>8</v>
      </c>
      <c r="I10" s="2">
        <v>7</v>
      </c>
      <c r="J10" s="2">
        <v>3</v>
      </c>
      <c r="K10" s="2">
        <v>4</v>
      </c>
      <c r="L10" s="2">
        <v>1</v>
      </c>
      <c r="M10" s="2">
        <v>0</v>
      </c>
      <c r="N10" s="2">
        <v>2</v>
      </c>
      <c r="O10" s="2">
        <f t="shared" si="3"/>
        <v>3</v>
      </c>
      <c r="P10" s="2">
        <v>3</v>
      </c>
      <c r="Q10" s="2">
        <v>0</v>
      </c>
      <c r="R10" s="2">
        <v>0</v>
      </c>
      <c r="S10" s="2">
        <v>1</v>
      </c>
      <c r="T10" s="2">
        <f t="shared" si="4"/>
        <v>7</v>
      </c>
      <c r="U10" s="2">
        <v>1</v>
      </c>
      <c r="V10" s="2">
        <v>0</v>
      </c>
      <c r="W10" s="2">
        <v>0</v>
      </c>
      <c r="X10" s="2">
        <v>2</v>
      </c>
      <c r="Y10" s="2">
        <f t="shared" si="5"/>
        <v>6</v>
      </c>
      <c r="Z10" s="3">
        <v>15</v>
      </c>
      <c r="AA10" s="2">
        <v>5</v>
      </c>
      <c r="AB10" s="4">
        <f t="shared" si="6"/>
        <v>0.5714285714285714</v>
      </c>
      <c r="AC10" s="4">
        <f t="shared" si="7"/>
        <v>0.33333333333333331</v>
      </c>
      <c r="AD10" s="4">
        <f t="shared" si="8"/>
        <v>1</v>
      </c>
      <c r="AE10" s="4">
        <f t="shared" si="9"/>
        <v>0.75</v>
      </c>
    </row>
    <row r="11" spans="1:31" x14ac:dyDescent="0.2">
      <c r="A11" s="2">
        <v>76</v>
      </c>
      <c r="B11" s="2" t="s">
        <v>36</v>
      </c>
      <c r="C11" s="2" t="s">
        <v>37</v>
      </c>
      <c r="D11" s="2">
        <v>26</v>
      </c>
      <c r="E11" s="2">
        <v>16</v>
      </c>
      <c r="F11" s="2">
        <f t="shared" si="0"/>
        <v>42</v>
      </c>
      <c r="G11" s="4">
        <f t="shared" si="1"/>
        <v>0.61904761904761907</v>
      </c>
      <c r="H11" s="2">
        <f t="shared" si="2"/>
        <v>18</v>
      </c>
      <c r="I11" s="2">
        <v>15</v>
      </c>
      <c r="J11" s="2">
        <v>5</v>
      </c>
      <c r="K11" s="2">
        <v>5</v>
      </c>
      <c r="L11" s="2">
        <v>11</v>
      </c>
      <c r="M11" s="2">
        <v>0</v>
      </c>
      <c r="N11" s="2">
        <v>1</v>
      </c>
      <c r="O11" s="2">
        <f t="shared" si="3"/>
        <v>12</v>
      </c>
      <c r="P11" s="2">
        <v>5</v>
      </c>
      <c r="Q11" s="2">
        <v>0</v>
      </c>
      <c r="R11" s="2">
        <v>0</v>
      </c>
      <c r="S11" s="2">
        <v>0</v>
      </c>
      <c r="T11" s="2">
        <f t="shared" si="4"/>
        <v>5</v>
      </c>
      <c r="U11" s="2">
        <v>0</v>
      </c>
      <c r="V11" s="2">
        <v>3</v>
      </c>
      <c r="W11" s="2">
        <v>0</v>
      </c>
      <c r="X11" s="2">
        <v>2</v>
      </c>
      <c r="Y11" s="2">
        <f t="shared" si="5"/>
        <v>10</v>
      </c>
      <c r="Z11" s="3">
        <v>40.5</v>
      </c>
      <c r="AA11" s="2">
        <v>5</v>
      </c>
      <c r="AB11" s="4">
        <f t="shared" si="6"/>
        <v>0.33333333333333331</v>
      </c>
      <c r="AC11" s="4">
        <f t="shared" si="7"/>
        <v>0.91666666666666663</v>
      </c>
      <c r="AD11" s="4">
        <f t="shared" si="8"/>
        <v>0.33333333333333331</v>
      </c>
      <c r="AE11" s="4">
        <f t="shared" si="9"/>
        <v>0.55555555555555558</v>
      </c>
    </row>
    <row r="12" spans="1:31" x14ac:dyDescent="0.2">
      <c r="A12" s="2">
        <v>77</v>
      </c>
      <c r="B12" s="2" t="s">
        <v>36</v>
      </c>
      <c r="C12" s="2" t="s">
        <v>37</v>
      </c>
      <c r="D12" s="2">
        <v>27</v>
      </c>
      <c r="E12" s="2">
        <v>17</v>
      </c>
      <c r="F12" s="2">
        <f t="shared" si="0"/>
        <v>44</v>
      </c>
      <c r="G12" s="4">
        <f t="shared" si="1"/>
        <v>0.61363636363636365</v>
      </c>
      <c r="H12" s="2">
        <f t="shared" si="2"/>
        <v>62</v>
      </c>
      <c r="I12" s="2">
        <v>61</v>
      </c>
      <c r="J12" s="2">
        <v>21</v>
      </c>
      <c r="K12" s="2">
        <v>28</v>
      </c>
      <c r="L12" s="2">
        <v>31</v>
      </c>
      <c r="M12" s="2">
        <v>14</v>
      </c>
      <c r="N12" s="2">
        <v>5</v>
      </c>
      <c r="O12" s="2">
        <f t="shared" si="3"/>
        <v>50</v>
      </c>
      <c r="P12" s="2">
        <v>19</v>
      </c>
      <c r="Q12" s="2">
        <v>7</v>
      </c>
      <c r="R12" s="2">
        <v>1</v>
      </c>
      <c r="S12" s="2">
        <v>1</v>
      </c>
      <c r="T12" s="2">
        <f t="shared" si="4"/>
        <v>40</v>
      </c>
      <c r="U12" s="2">
        <v>0</v>
      </c>
      <c r="V12" s="2">
        <v>1</v>
      </c>
      <c r="W12" s="2">
        <v>1</v>
      </c>
      <c r="X12" s="2">
        <v>7</v>
      </c>
      <c r="Y12" s="2">
        <f t="shared" si="5"/>
        <v>36</v>
      </c>
      <c r="Z12" s="3">
        <v>122</v>
      </c>
      <c r="AA12" s="2">
        <v>25</v>
      </c>
      <c r="AB12" s="4">
        <f t="shared" si="6"/>
        <v>0.45901639344262296</v>
      </c>
      <c r="AC12" s="4">
        <f t="shared" si="7"/>
        <v>0.9</v>
      </c>
      <c r="AD12" s="4">
        <f t="shared" si="8"/>
        <v>0.65573770491803274</v>
      </c>
      <c r="AE12" s="4">
        <f t="shared" si="9"/>
        <v>0.58064516129032262</v>
      </c>
    </row>
    <row r="13" spans="1:31" x14ac:dyDescent="0.2">
      <c r="A13" s="2">
        <v>78</v>
      </c>
      <c r="B13" s="2" t="s">
        <v>36</v>
      </c>
      <c r="C13" s="2" t="s">
        <v>37</v>
      </c>
      <c r="D13" s="2">
        <v>31</v>
      </c>
      <c r="E13" s="2">
        <v>20</v>
      </c>
      <c r="F13" s="2">
        <f t="shared" si="0"/>
        <v>51</v>
      </c>
      <c r="G13" s="4">
        <f t="shared" si="1"/>
        <v>0.60784313725490191</v>
      </c>
      <c r="H13" s="2">
        <f t="shared" si="2"/>
        <v>97</v>
      </c>
      <c r="I13" s="2">
        <v>89</v>
      </c>
      <c r="J13" s="2">
        <v>32</v>
      </c>
      <c r="K13" s="2">
        <v>45</v>
      </c>
      <c r="L13" s="2">
        <v>36</v>
      </c>
      <c r="M13" s="2">
        <v>42</v>
      </c>
      <c r="N13" s="2">
        <v>5</v>
      </c>
      <c r="O13" s="2">
        <f t="shared" si="3"/>
        <v>83</v>
      </c>
      <c r="P13" s="2">
        <v>30</v>
      </c>
      <c r="Q13" s="2">
        <v>10</v>
      </c>
      <c r="R13" s="2">
        <v>3</v>
      </c>
      <c r="S13" s="2">
        <v>2</v>
      </c>
      <c r="T13" s="2">
        <f t="shared" si="4"/>
        <v>67</v>
      </c>
      <c r="U13" s="2">
        <v>7</v>
      </c>
      <c r="V13" s="2">
        <v>1</v>
      </c>
      <c r="W13" s="2">
        <v>1</v>
      </c>
      <c r="X13" s="2">
        <v>14</v>
      </c>
      <c r="Y13" s="2">
        <f t="shared" si="5"/>
        <v>60</v>
      </c>
      <c r="Z13" s="3">
        <v>167</v>
      </c>
      <c r="AA13" s="2">
        <v>32</v>
      </c>
      <c r="AB13" s="4">
        <f t="shared" si="6"/>
        <v>0.5056179775280899</v>
      </c>
      <c r="AC13" s="4">
        <f t="shared" si="7"/>
        <v>0.93975903614457834</v>
      </c>
      <c r="AD13" s="4">
        <f t="shared" si="8"/>
        <v>0.7528089887640449</v>
      </c>
      <c r="AE13" s="4">
        <f t="shared" si="9"/>
        <v>0.61855670103092786</v>
      </c>
    </row>
    <row r="14" spans="1:31" x14ac:dyDescent="0.2">
      <c r="A14" s="2">
        <v>79</v>
      </c>
      <c r="B14" s="2" t="s">
        <v>38</v>
      </c>
      <c r="C14" s="2" t="s">
        <v>39</v>
      </c>
      <c r="D14" s="2">
        <v>9</v>
      </c>
      <c r="E14" s="2">
        <v>10</v>
      </c>
      <c r="F14" s="2">
        <f t="shared" si="0"/>
        <v>19</v>
      </c>
      <c r="G14" s="4">
        <f t="shared" si="1"/>
        <v>0.47368421052631576</v>
      </c>
      <c r="H14" s="2">
        <f t="shared" si="2"/>
        <v>50</v>
      </c>
      <c r="I14" s="2">
        <v>46</v>
      </c>
      <c r="J14" s="2">
        <v>21</v>
      </c>
      <c r="K14" s="2">
        <v>25</v>
      </c>
      <c r="L14" s="2">
        <v>30</v>
      </c>
      <c r="M14" s="2">
        <v>2</v>
      </c>
      <c r="N14" s="2">
        <v>1</v>
      </c>
      <c r="O14" s="2">
        <f t="shared" si="3"/>
        <v>33</v>
      </c>
      <c r="P14" s="2">
        <v>17</v>
      </c>
      <c r="Q14" s="2">
        <v>2</v>
      </c>
      <c r="R14" s="2">
        <v>4</v>
      </c>
      <c r="S14" s="2">
        <v>2</v>
      </c>
      <c r="T14" s="2">
        <f t="shared" si="4"/>
        <v>41</v>
      </c>
      <c r="U14" s="2">
        <v>2</v>
      </c>
      <c r="V14" s="2">
        <v>2</v>
      </c>
      <c r="W14" s="2">
        <v>0</v>
      </c>
      <c r="X14" s="2">
        <v>4</v>
      </c>
      <c r="Y14" s="2">
        <f t="shared" si="5"/>
        <v>31</v>
      </c>
      <c r="Z14" s="3">
        <v>79.5</v>
      </c>
      <c r="AA14" s="2">
        <v>12</v>
      </c>
      <c r="AB14" s="4">
        <f t="shared" si="6"/>
        <v>0.54347826086956519</v>
      </c>
      <c r="AC14" s="4">
        <f t="shared" si="7"/>
        <v>0.96969696969696972</v>
      </c>
      <c r="AD14" s="4">
        <f t="shared" si="8"/>
        <v>0.89130434782608692</v>
      </c>
      <c r="AE14" s="4">
        <f t="shared" si="9"/>
        <v>0.62</v>
      </c>
    </row>
    <row r="15" spans="1:31" x14ac:dyDescent="0.2">
      <c r="A15" s="2">
        <v>80</v>
      </c>
      <c r="B15" s="2" t="s">
        <v>38</v>
      </c>
      <c r="C15" s="2" t="s">
        <v>39</v>
      </c>
      <c r="D15" s="2">
        <v>10</v>
      </c>
      <c r="E15" s="2">
        <v>8</v>
      </c>
      <c r="F15" s="2">
        <f t="shared" si="0"/>
        <v>18</v>
      </c>
      <c r="G15" s="4">
        <f t="shared" si="1"/>
        <v>0.55555555555555558</v>
      </c>
      <c r="H15" s="2">
        <f t="shared" si="2"/>
        <v>15</v>
      </c>
      <c r="I15" s="2">
        <v>15</v>
      </c>
      <c r="J15" s="2">
        <v>3</v>
      </c>
      <c r="K15" s="2">
        <v>7</v>
      </c>
      <c r="L15" s="2">
        <v>8</v>
      </c>
      <c r="M15" s="2">
        <v>1</v>
      </c>
      <c r="N15" s="2">
        <v>1</v>
      </c>
      <c r="O15" s="2">
        <f t="shared" si="3"/>
        <v>10</v>
      </c>
      <c r="P15" s="2">
        <v>5</v>
      </c>
      <c r="Q15" s="2">
        <v>1</v>
      </c>
      <c r="R15" s="2">
        <v>0</v>
      </c>
      <c r="S15" s="2">
        <v>1</v>
      </c>
      <c r="T15" s="2">
        <f t="shared" si="4"/>
        <v>11</v>
      </c>
      <c r="U15" s="2">
        <v>0</v>
      </c>
      <c r="V15" s="2">
        <v>0</v>
      </c>
      <c r="W15" s="2">
        <v>0</v>
      </c>
      <c r="X15" s="2">
        <v>2</v>
      </c>
      <c r="Y15" s="2">
        <f t="shared" si="5"/>
        <v>9</v>
      </c>
      <c r="Z15" s="3">
        <v>25</v>
      </c>
      <c r="AA15" s="2">
        <v>4</v>
      </c>
      <c r="AB15" s="4">
        <f t="shared" si="6"/>
        <v>0.46666666666666667</v>
      </c>
      <c r="AC15" s="4">
        <f t="shared" si="7"/>
        <v>0.9</v>
      </c>
      <c r="AD15" s="4">
        <f t="shared" si="8"/>
        <v>0.73333333333333328</v>
      </c>
      <c r="AE15" s="4">
        <f t="shared" si="9"/>
        <v>0.6</v>
      </c>
    </row>
    <row r="17" spans="2:31" x14ac:dyDescent="0.2">
      <c r="B17" s="2" t="s">
        <v>40</v>
      </c>
      <c r="D17" s="2">
        <f>SUM(D9:D15)</f>
        <v>132</v>
      </c>
      <c r="E17" s="2">
        <f>SUM(E9:E15)</f>
        <v>99</v>
      </c>
      <c r="F17" s="2">
        <f>SUM(F9:F15)</f>
        <v>231</v>
      </c>
      <c r="G17" s="4">
        <f>D17/F17</f>
        <v>0.5714285714285714</v>
      </c>
      <c r="H17" s="2">
        <f t="shared" ref="H17:AA17" si="10">SUM(H9:H15)</f>
        <v>256</v>
      </c>
      <c r="I17" s="2">
        <f t="shared" si="10"/>
        <v>239</v>
      </c>
      <c r="J17" s="2">
        <f t="shared" si="10"/>
        <v>86</v>
      </c>
      <c r="K17" s="2">
        <f t="shared" si="10"/>
        <v>116</v>
      </c>
      <c r="L17" s="2">
        <f t="shared" si="10"/>
        <v>120</v>
      </c>
      <c r="M17" s="2">
        <f t="shared" si="10"/>
        <v>60</v>
      </c>
      <c r="N17" s="2">
        <f t="shared" si="10"/>
        <v>19</v>
      </c>
      <c r="O17" s="2">
        <f t="shared" si="10"/>
        <v>199</v>
      </c>
      <c r="P17" s="2">
        <f t="shared" si="10"/>
        <v>81</v>
      </c>
      <c r="Q17" s="2">
        <f t="shared" si="10"/>
        <v>20</v>
      </c>
      <c r="R17" s="2">
        <f t="shared" si="10"/>
        <v>8</v>
      </c>
      <c r="S17" s="2">
        <f t="shared" si="10"/>
        <v>7</v>
      </c>
      <c r="T17" s="2">
        <f t="shared" si="10"/>
        <v>173</v>
      </c>
      <c r="U17" s="2">
        <f t="shared" si="10"/>
        <v>10</v>
      </c>
      <c r="V17" s="2">
        <f t="shared" si="10"/>
        <v>7</v>
      </c>
      <c r="W17" s="2">
        <f t="shared" si="10"/>
        <v>2</v>
      </c>
      <c r="X17" s="2">
        <f t="shared" si="10"/>
        <v>32</v>
      </c>
      <c r="Y17" s="2">
        <f t="shared" si="10"/>
        <v>155</v>
      </c>
      <c r="Z17" s="3">
        <f t="shared" si="10"/>
        <v>462.5</v>
      </c>
      <c r="AA17" s="2">
        <f t="shared" si="10"/>
        <v>83</v>
      </c>
      <c r="AB17" s="4">
        <f>K17/I17</f>
        <v>0.48535564853556484</v>
      </c>
      <c r="AC17" s="4">
        <f>(L17+M17)/O17</f>
        <v>0.90452261306532666</v>
      </c>
      <c r="AD17" s="4">
        <f>T17/I17</f>
        <v>0.72384937238493718</v>
      </c>
      <c r="AE17" s="4">
        <f>Y17/H17</f>
        <v>0.60546875</v>
      </c>
    </row>
    <row r="19" spans="2:31" x14ac:dyDescent="0.2">
      <c r="F19" t="s">
        <v>1</v>
      </c>
      <c r="G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 s="2"/>
      <c r="AC19" s="2"/>
      <c r="AD19" s="2"/>
      <c r="AE19" s="2"/>
    </row>
    <row r="20" spans="2:31" x14ac:dyDescent="0.2">
      <c r="G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 s="2"/>
      <c r="AC20" s="2"/>
      <c r="AD20" s="2"/>
      <c r="AE20" s="2"/>
    </row>
    <row r="21" spans="2:31" x14ac:dyDescent="0.2">
      <c r="G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 s="2"/>
      <c r="AC21" s="2"/>
      <c r="AD21" s="2"/>
      <c r="AE21" s="2"/>
    </row>
    <row r="22" spans="2:31" x14ac:dyDescent="0.2">
      <c r="G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 s="2"/>
      <c r="AC22" s="2"/>
      <c r="AD22" s="2"/>
      <c r="AE22" s="2"/>
    </row>
    <row r="23" spans="2:31" x14ac:dyDescent="0.2">
      <c r="C23" s="2" t="s">
        <v>3</v>
      </c>
      <c r="D23" s="2" t="s">
        <v>6</v>
      </c>
      <c r="E23" s="2" t="s">
        <v>7</v>
      </c>
      <c r="F23" s="2" t="s">
        <v>8</v>
      </c>
      <c r="G23" s="4" t="s">
        <v>9</v>
      </c>
      <c r="H23" s="2" t="s">
        <v>10</v>
      </c>
      <c r="I23" s="2" t="s">
        <v>11</v>
      </c>
      <c r="J23" s="2" t="s">
        <v>12</v>
      </c>
      <c r="K23" s="2" t="s">
        <v>13</v>
      </c>
      <c r="L23" s="2" t="s">
        <v>14</v>
      </c>
      <c r="M23" s="2" t="s">
        <v>15</v>
      </c>
      <c r="N23" s="2" t="s">
        <v>16</v>
      </c>
      <c r="O23" s="2" t="s">
        <v>17</v>
      </c>
      <c r="P23" s="2" t="s">
        <v>18</v>
      </c>
      <c r="Q23" s="2" t="s">
        <v>19</v>
      </c>
      <c r="R23" s="2" t="s">
        <v>20</v>
      </c>
      <c r="S23" s="2" t="s">
        <v>21</v>
      </c>
      <c r="T23" s="2" t="s">
        <v>22</v>
      </c>
      <c r="U23" s="2" t="s">
        <v>23</v>
      </c>
      <c r="V23" s="2" t="s">
        <v>24</v>
      </c>
      <c r="W23" s="2" t="s">
        <v>25</v>
      </c>
      <c r="X23" s="2" t="s">
        <v>26</v>
      </c>
      <c r="Y23" s="2" t="s">
        <v>27</v>
      </c>
      <c r="Z23" s="3" t="s">
        <v>28</v>
      </c>
      <c r="AA23" s="2" t="s">
        <v>29</v>
      </c>
      <c r="AB23" s="4" t="s">
        <v>30</v>
      </c>
      <c r="AC23" s="4" t="s">
        <v>31</v>
      </c>
      <c r="AD23" s="4" t="s">
        <v>32</v>
      </c>
      <c r="AE23" s="4" t="s">
        <v>33</v>
      </c>
    </row>
    <row r="24" spans="2:31" x14ac:dyDescent="0.2">
      <c r="G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 s="2"/>
      <c r="AC24" s="2"/>
      <c r="AD24" s="2"/>
      <c r="AE24" s="2"/>
    </row>
    <row r="25" spans="2:31" x14ac:dyDescent="0.2">
      <c r="C25" s="2">
        <v>74</v>
      </c>
      <c r="D25" s="2">
        <f t="shared" ref="D25:AE25" si="11">D9</f>
        <v>14</v>
      </c>
      <c r="E25" s="2">
        <f t="shared" si="11"/>
        <v>16</v>
      </c>
      <c r="F25" s="2">
        <f t="shared" si="11"/>
        <v>30</v>
      </c>
      <c r="G25" s="4">
        <f t="shared" si="11"/>
        <v>0.46666666666666667</v>
      </c>
      <c r="H25" s="2">
        <f t="shared" si="11"/>
        <v>6</v>
      </c>
      <c r="I25" s="2">
        <f t="shared" si="11"/>
        <v>6</v>
      </c>
      <c r="J25" s="2">
        <f t="shared" si="11"/>
        <v>1</v>
      </c>
      <c r="K25" s="2">
        <f t="shared" si="11"/>
        <v>2</v>
      </c>
      <c r="L25" s="2">
        <f t="shared" si="11"/>
        <v>3</v>
      </c>
      <c r="M25" s="2">
        <f t="shared" si="11"/>
        <v>1</v>
      </c>
      <c r="N25" s="2">
        <f t="shared" si="11"/>
        <v>4</v>
      </c>
      <c r="O25" s="2">
        <f t="shared" si="11"/>
        <v>8</v>
      </c>
      <c r="P25" s="2">
        <f t="shared" si="11"/>
        <v>2</v>
      </c>
      <c r="Q25" s="2">
        <f t="shared" si="11"/>
        <v>0</v>
      </c>
      <c r="R25" s="2">
        <f t="shared" si="11"/>
        <v>0</v>
      </c>
      <c r="S25" s="2">
        <f t="shared" si="11"/>
        <v>0</v>
      </c>
      <c r="T25" s="2">
        <f t="shared" si="11"/>
        <v>2</v>
      </c>
      <c r="U25" s="2">
        <f t="shared" si="11"/>
        <v>0</v>
      </c>
      <c r="V25" s="2">
        <f t="shared" si="11"/>
        <v>0</v>
      </c>
      <c r="W25" s="2">
        <f t="shared" si="11"/>
        <v>0</v>
      </c>
      <c r="X25" s="2">
        <f t="shared" si="11"/>
        <v>1</v>
      </c>
      <c r="Y25" s="2">
        <f t="shared" si="11"/>
        <v>3</v>
      </c>
      <c r="Z25" s="2">
        <f t="shared" si="11"/>
        <v>13.5</v>
      </c>
      <c r="AA25" s="2">
        <f t="shared" si="11"/>
        <v>0</v>
      </c>
      <c r="AB25" s="4">
        <f t="shared" si="11"/>
        <v>0.33333333333333331</v>
      </c>
      <c r="AC25" s="4">
        <f t="shared" si="11"/>
        <v>0.5</v>
      </c>
      <c r="AD25" s="4">
        <f t="shared" si="11"/>
        <v>0.33333333333333331</v>
      </c>
      <c r="AE25" s="2">
        <f t="shared" si="11"/>
        <v>0.5</v>
      </c>
    </row>
    <row r="26" spans="2:31" x14ac:dyDescent="0.2">
      <c r="C26" s="2">
        <v>75</v>
      </c>
      <c r="D26" s="2">
        <f t="shared" ref="D26:F31" si="12">D25+D10</f>
        <v>29</v>
      </c>
      <c r="E26" s="2">
        <f t="shared" si="12"/>
        <v>28</v>
      </c>
      <c r="F26" s="2">
        <f t="shared" si="12"/>
        <v>57</v>
      </c>
      <c r="G26" s="4">
        <f t="shared" ref="G26:G31" si="13">D26/F26</f>
        <v>0.50877192982456143</v>
      </c>
      <c r="H26" s="2">
        <f t="shared" ref="H26:Q31" si="14">H25+H10</f>
        <v>14</v>
      </c>
      <c r="I26" s="2">
        <f t="shared" si="14"/>
        <v>13</v>
      </c>
      <c r="J26" s="2">
        <f t="shared" si="14"/>
        <v>4</v>
      </c>
      <c r="K26" s="2">
        <f t="shared" si="14"/>
        <v>6</v>
      </c>
      <c r="L26" s="2">
        <f t="shared" si="14"/>
        <v>4</v>
      </c>
      <c r="M26" s="2">
        <f t="shared" si="14"/>
        <v>1</v>
      </c>
      <c r="N26" s="2">
        <f t="shared" si="14"/>
        <v>6</v>
      </c>
      <c r="O26" s="2">
        <f t="shared" si="14"/>
        <v>11</v>
      </c>
      <c r="P26" s="2">
        <f t="shared" si="14"/>
        <v>5</v>
      </c>
      <c r="Q26" s="2">
        <f t="shared" si="14"/>
        <v>0</v>
      </c>
      <c r="R26" s="2">
        <f t="shared" ref="R26:AA31" si="15">R25+R10</f>
        <v>0</v>
      </c>
      <c r="S26" s="2">
        <f t="shared" si="15"/>
        <v>1</v>
      </c>
      <c r="T26" s="2">
        <f t="shared" si="15"/>
        <v>9</v>
      </c>
      <c r="U26" s="2">
        <f t="shared" si="15"/>
        <v>1</v>
      </c>
      <c r="V26" s="2">
        <f t="shared" si="15"/>
        <v>0</v>
      </c>
      <c r="W26" s="2">
        <f t="shared" si="15"/>
        <v>0</v>
      </c>
      <c r="X26" s="2">
        <f t="shared" si="15"/>
        <v>3</v>
      </c>
      <c r="Y26" s="2">
        <f t="shared" si="15"/>
        <v>9</v>
      </c>
      <c r="Z26" s="3">
        <f t="shared" si="15"/>
        <v>28.5</v>
      </c>
      <c r="AA26" s="2">
        <f t="shared" si="15"/>
        <v>5</v>
      </c>
      <c r="AB26" s="4">
        <f t="shared" ref="AB26:AB31" si="16">K26/I26</f>
        <v>0.46153846153846156</v>
      </c>
      <c r="AC26" s="4">
        <f t="shared" ref="AC26:AC31" si="17">(L26+M26)/O26</f>
        <v>0.45454545454545453</v>
      </c>
      <c r="AD26" s="4">
        <f t="shared" ref="AD26:AD31" si="18">T26/I26</f>
        <v>0.69230769230769229</v>
      </c>
      <c r="AE26" s="4">
        <f t="shared" ref="AE26:AE31" si="19">Y26/H26</f>
        <v>0.6428571428571429</v>
      </c>
    </row>
    <row r="27" spans="2:31" x14ac:dyDescent="0.2">
      <c r="C27" s="2">
        <v>76</v>
      </c>
      <c r="D27" s="2">
        <f t="shared" si="12"/>
        <v>55</v>
      </c>
      <c r="E27" s="2">
        <f t="shared" si="12"/>
        <v>44</v>
      </c>
      <c r="F27" s="2">
        <f t="shared" si="12"/>
        <v>99</v>
      </c>
      <c r="G27" s="4">
        <f t="shared" si="13"/>
        <v>0.55555555555555558</v>
      </c>
      <c r="H27" s="2">
        <f t="shared" si="14"/>
        <v>32</v>
      </c>
      <c r="I27" s="2">
        <f t="shared" si="14"/>
        <v>28</v>
      </c>
      <c r="J27" s="2">
        <f t="shared" si="14"/>
        <v>9</v>
      </c>
      <c r="K27" s="2">
        <f t="shared" si="14"/>
        <v>11</v>
      </c>
      <c r="L27" s="2">
        <f t="shared" si="14"/>
        <v>15</v>
      </c>
      <c r="M27" s="2">
        <f t="shared" si="14"/>
        <v>1</v>
      </c>
      <c r="N27" s="2">
        <f t="shared" si="14"/>
        <v>7</v>
      </c>
      <c r="O27" s="2">
        <f t="shared" si="14"/>
        <v>23</v>
      </c>
      <c r="P27" s="2">
        <f t="shared" si="14"/>
        <v>10</v>
      </c>
      <c r="Q27" s="2">
        <f t="shared" si="14"/>
        <v>0</v>
      </c>
      <c r="R27" s="2">
        <f t="shared" si="15"/>
        <v>0</v>
      </c>
      <c r="S27" s="2">
        <f t="shared" si="15"/>
        <v>1</v>
      </c>
      <c r="T27" s="2">
        <f t="shared" si="15"/>
        <v>14</v>
      </c>
      <c r="U27" s="2">
        <f t="shared" si="15"/>
        <v>1</v>
      </c>
      <c r="V27" s="2">
        <f t="shared" si="15"/>
        <v>3</v>
      </c>
      <c r="W27" s="2">
        <f t="shared" si="15"/>
        <v>0</v>
      </c>
      <c r="X27" s="2">
        <f t="shared" si="15"/>
        <v>5</v>
      </c>
      <c r="Y27" s="2">
        <f t="shared" si="15"/>
        <v>19</v>
      </c>
      <c r="Z27" s="3">
        <f t="shared" si="15"/>
        <v>69</v>
      </c>
      <c r="AA27" s="2">
        <f t="shared" si="15"/>
        <v>10</v>
      </c>
      <c r="AB27" s="4">
        <f t="shared" si="16"/>
        <v>0.39285714285714285</v>
      </c>
      <c r="AC27" s="4">
        <f t="shared" si="17"/>
        <v>0.69565217391304346</v>
      </c>
      <c r="AD27" s="4">
        <f t="shared" si="18"/>
        <v>0.5</v>
      </c>
      <c r="AE27" s="4">
        <f t="shared" si="19"/>
        <v>0.59375</v>
      </c>
    </row>
    <row r="28" spans="2:31" x14ac:dyDescent="0.2">
      <c r="C28" s="2">
        <v>77</v>
      </c>
      <c r="D28" s="2">
        <f t="shared" si="12"/>
        <v>82</v>
      </c>
      <c r="E28" s="2">
        <f t="shared" si="12"/>
        <v>61</v>
      </c>
      <c r="F28" s="2">
        <f t="shared" si="12"/>
        <v>143</v>
      </c>
      <c r="G28" s="4">
        <f t="shared" si="13"/>
        <v>0.57342657342657344</v>
      </c>
      <c r="H28" s="2">
        <f t="shared" si="14"/>
        <v>94</v>
      </c>
      <c r="I28" s="2">
        <f t="shared" si="14"/>
        <v>89</v>
      </c>
      <c r="J28" s="2">
        <f t="shared" si="14"/>
        <v>30</v>
      </c>
      <c r="K28" s="2">
        <f t="shared" si="14"/>
        <v>39</v>
      </c>
      <c r="L28" s="2">
        <f t="shared" si="14"/>
        <v>46</v>
      </c>
      <c r="M28" s="2">
        <f t="shared" si="14"/>
        <v>15</v>
      </c>
      <c r="N28" s="2">
        <f t="shared" si="14"/>
        <v>12</v>
      </c>
      <c r="O28" s="2">
        <f t="shared" si="14"/>
        <v>73</v>
      </c>
      <c r="P28" s="2">
        <f t="shared" si="14"/>
        <v>29</v>
      </c>
      <c r="Q28" s="2">
        <f t="shared" si="14"/>
        <v>7</v>
      </c>
      <c r="R28" s="2">
        <f t="shared" si="15"/>
        <v>1</v>
      </c>
      <c r="S28" s="2">
        <f t="shared" si="15"/>
        <v>2</v>
      </c>
      <c r="T28" s="2">
        <f t="shared" si="15"/>
        <v>54</v>
      </c>
      <c r="U28" s="2">
        <f t="shared" si="15"/>
        <v>1</v>
      </c>
      <c r="V28" s="2">
        <f t="shared" si="15"/>
        <v>4</v>
      </c>
      <c r="W28" s="2">
        <f t="shared" si="15"/>
        <v>1</v>
      </c>
      <c r="X28" s="2">
        <f t="shared" si="15"/>
        <v>12</v>
      </c>
      <c r="Y28" s="2">
        <f t="shared" si="15"/>
        <v>55</v>
      </c>
      <c r="Z28" s="3">
        <f t="shared" si="15"/>
        <v>191</v>
      </c>
      <c r="AA28" s="2">
        <f t="shared" si="15"/>
        <v>35</v>
      </c>
      <c r="AB28" s="4">
        <f t="shared" si="16"/>
        <v>0.43820224719101125</v>
      </c>
      <c r="AC28" s="4">
        <f t="shared" si="17"/>
        <v>0.83561643835616439</v>
      </c>
      <c r="AD28" s="4">
        <f t="shared" si="18"/>
        <v>0.6067415730337079</v>
      </c>
      <c r="AE28" s="4">
        <f t="shared" si="19"/>
        <v>0.58510638297872342</v>
      </c>
    </row>
    <row r="29" spans="2:31" x14ac:dyDescent="0.2">
      <c r="C29" s="2">
        <v>78</v>
      </c>
      <c r="D29" s="2">
        <f t="shared" si="12"/>
        <v>113</v>
      </c>
      <c r="E29" s="2">
        <f t="shared" si="12"/>
        <v>81</v>
      </c>
      <c r="F29" s="2">
        <f t="shared" si="12"/>
        <v>194</v>
      </c>
      <c r="G29" s="4">
        <f t="shared" si="13"/>
        <v>0.58247422680412375</v>
      </c>
      <c r="H29" s="2">
        <f t="shared" si="14"/>
        <v>191</v>
      </c>
      <c r="I29" s="2">
        <f t="shared" si="14"/>
        <v>178</v>
      </c>
      <c r="J29" s="2">
        <f t="shared" si="14"/>
        <v>62</v>
      </c>
      <c r="K29" s="2">
        <f t="shared" si="14"/>
        <v>84</v>
      </c>
      <c r="L29" s="2">
        <f t="shared" si="14"/>
        <v>82</v>
      </c>
      <c r="M29" s="2">
        <f t="shared" si="14"/>
        <v>57</v>
      </c>
      <c r="N29" s="2">
        <f t="shared" si="14"/>
        <v>17</v>
      </c>
      <c r="O29" s="2">
        <f t="shared" si="14"/>
        <v>156</v>
      </c>
      <c r="P29" s="2">
        <f t="shared" si="14"/>
        <v>59</v>
      </c>
      <c r="Q29" s="2">
        <f t="shared" si="14"/>
        <v>17</v>
      </c>
      <c r="R29" s="2">
        <f t="shared" si="15"/>
        <v>4</v>
      </c>
      <c r="S29" s="2">
        <f t="shared" si="15"/>
        <v>4</v>
      </c>
      <c r="T29" s="2">
        <f t="shared" si="15"/>
        <v>121</v>
      </c>
      <c r="U29" s="2">
        <f t="shared" si="15"/>
        <v>8</v>
      </c>
      <c r="V29" s="2">
        <f t="shared" si="15"/>
        <v>5</v>
      </c>
      <c r="W29" s="2">
        <f t="shared" si="15"/>
        <v>2</v>
      </c>
      <c r="X29" s="2">
        <f t="shared" si="15"/>
        <v>26</v>
      </c>
      <c r="Y29" s="2">
        <f t="shared" si="15"/>
        <v>115</v>
      </c>
      <c r="Z29" s="3">
        <f t="shared" si="15"/>
        <v>358</v>
      </c>
      <c r="AA29" s="2">
        <f t="shared" si="15"/>
        <v>67</v>
      </c>
      <c r="AB29" s="4">
        <f t="shared" si="16"/>
        <v>0.47191011235955055</v>
      </c>
      <c r="AC29" s="4">
        <f t="shared" si="17"/>
        <v>0.89102564102564108</v>
      </c>
      <c r="AD29" s="4">
        <f t="shared" si="18"/>
        <v>0.6797752808988764</v>
      </c>
      <c r="AE29" s="4">
        <f t="shared" si="19"/>
        <v>0.60209424083769636</v>
      </c>
    </row>
    <row r="30" spans="2:31" x14ac:dyDescent="0.2">
      <c r="C30" s="2">
        <v>79</v>
      </c>
      <c r="D30" s="2">
        <f t="shared" si="12"/>
        <v>122</v>
      </c>
      <c r="E30" s="2">
        <f t="shared" si="12"/>
        <v>91</v>
      </c>
      <c r="F30" s="2">
        <f t="shared" si="12"/>
        <v>213</v>
      </c>
      <c r="G30" s="4">
        <f t="shared" si="13"/>
        <v>0.57276995305164324</v>
      </c>
      <c r="H30" s="2">
        <f t="shared" si="14"/>
        <v>241</v>
      </c>
      <c r="I30" s="2">
        <f t="shared" si="14"/>
        <v>224</v>
      </c>
      <c r="J30" s="2">
        <f t="shared" si="14"/>
        <v>83</v>
      </c>
      <c r="K30" s="2">
        <f t="shared" si="14"/>
        <v>109</v>
      </c>
      <c r="L30" s="2">
        <f t="shared" si="14"/>
        <v>112</v>
      </c>
      <c r="M30" s="2">
        <f t="shared" si="14"/>
        <v>59</v>
      </c>
      <c r="N30" s="2">
        <f t="shared" si="14"/>
        <v>18</v>
      </c>
      <c r="O30" s="2">
        <f t="shared" si="14"/>
        <v>189</v>
      </c>
      <c r="P30" s="2">
        <f t="shared" si="14"/>
        <v>76</v>
      </c>
      <c r="Q30" s="2">
        <f t="shared" si="14"/>
        <v>19</v>
      </c>
      <c r="R30" s="2">
        <f t="shared" si="15"/>
        <v>8</v>
      </c>
      <c r="S30" s="2">
        <f t="shared" si="15"/>
        <v>6</v>
      </c>
      <c r="T30" s="2">
        <f t="shared" si="15"/>
        <v>162</v>
      </c>
      <c r="U30" s="2">
        <f t="shared" si="15"/>
        <v>10</v>
      </c>
      <c r="V30" s="2">
        <f t="shared" si="15"/>
        <v>7</v>
      </c>
      <c r="W30" s="2">
        <f t="shared" si="15"/>
        <v>2</v>
      </c>
      <c r="X30" s="2">
        <f t="shared" si="15"/>
        <v>30</v>
      </c>
      <c r="Y30" s="2">
        <f t="shared" si="15"/>
        <v>146</v>
      </c>
      <c r="Z30" s="3">
        <f t="shared" si="15"/>
        <v>437.5</v>
      </c>
      <c r="AA30" s="2">
        <f t="shared" si="15"/>
        <v>79</v>
      </c>
      <c r="AB30" s="4">
        <f t="shared" si="16"/>
        <v>0.48660714285714285</v>
      </c>
      <c r="AC30" s="4">
        <f t="shared" si="17"/>
        <v>0.90476190476190477</v>
      </c>
      <c r="AD30" s="4">
        <f t="shared" si="18"/>
        <v>0.7232142857142857</v>
      </c>
      <c r="AE30" s="4">
        <f t="shared" si="19"/>
        <v>0.60580912863070535</v>
      </c>
    </row>
    <row r="31" spans="2:31" x14ac:dyDescent="0.2">
      <c r="C31" s="2">
        <v>80</v>
      </c>
      <c r="D31" s="2">
        <f t="shared" si="12"/>
        <v>132</v>
      </c>
      <c r="E31" s="2">
        <f t="shared" si="12"/>
        <v>99</v>
      </c>
      <c r="F31" s="2">
        <f t="shared" si="12"/>
        <v>231</v>
      </c>
      <c r="G31" s="4">
        <f t="shared" si="13"/>
        <v>0.5714285714285714</v>
      </c>
      <c r="H31" s="2">
        <f t="shared" si="14"/>
        <v>256</v>
      </c>
      <c r="I31" s="2">
        <f t="shared" si="14"/>
        <v>239</v>
      </c>
      <c r="J31" s="2">
        <f t="shared" si="14"/>
        <v>86</v>
      </c>
      <c r="K31" s="2">
        <f t="shared" si="14"/>
        <v>116</v>
      </c>
      <c r="L31" s="2">
        <f t="shared" si="14"/>
        <v>120</v>
      </c>
      <c r="M31" s="2">
        <f t="shared" si="14"/>
        <v>60</v>
      </c>
      <c r="N31" s="2">
        <f t="shared" si="14"/>
        <v>19</v>
      </c>
      <c r="O31" s="2">
        <f t="shared" si="14"/>
        <v>199</v>
      </c>
      <c r="P31" s="2">
        <f t="shared" si="14"/>
        <v>81</v>
      </c>
      <c r="Q31" s="2">
        <f t="shared" si="14"/>
        <v>20</v>
      </c>
      <c r="R31" s="2">
        <f t="shared" si="15"/>
        <v>8</v>
      </c>
      <c r="S31" s="2">
        <f t="shared" si="15"/>
        <v>7</v>
      </c>
      <c r="T31" s="2">
        <f t="shared" si="15"/>
        <v>173</v>
      </c>
      <c r="U31" s="2">
        <f t="shared" si="15"/>
        <v>10</v>
      </c>
      <c r="V31" s="2">
        <f t="shared" si="15"/>
        <v>7</v>
      </c>
      <c r="W31" s="2">
        <f t="shared" si="15"/>
        <v>2</v>
      </c>
      <c r="X31" s="2">
        <f t="shared" si="15"/>
        <v>32</v>
      </c>
      <c r="Y31" s="2">
        <f t="shared" si="15"/>
        <v>155</v>
      </c>
      <c r="Z31" s="3">
        <f t="shared" si="15"/>
        <v>462.5</v>
      </c>
      <c r="AA31" s="2">
        <f t="shared" si="15"/>
        <v>83</v>
      </c>
      <c r="AB31" s="4">
        <f t="shared" si="16"/>
        <v>0.48535564853556484</v>
      </c>
      <c r="AC31" s="4">
        <f t="shared" si="17"/>
        <v>0.90452261306532666</v>
      </c>
      <c r="AD31" s="4">
        <f t="shared" si="18"/>
        <v>0.72384937238493718</v>
      </c>
      <c r="AE31" s="4">
        <f t="shared" si="19"/>
        <v>0.60546875</v>
      </c>
    </row>
    <row r="33" spans="1:26" x14ac:dyDescent="0.2">
      <c r="P33" s="5"/>
    </row>
    <row r="34" spans="1:26" x14ac:dyDescent="0.2">
      <c r="D34" t="s">
        <v>41</v>
      </c>
      <c r="G34" s="1" t="s">
        <v>42</v>
      </c>
      <c r="K34" s="5" t="s">
        <v>43</v>
      </c>
      <c r="P34" s="5" t="s">
        <v>44</v>
      </c>
      <c r="S34" s="5" t="s">
        <v>45</v>
      </c>
      <c r="V34" s="5" t="s">
        <v>46</v>
      </c>
      <c r="Z34" s="6" t="s">
        <v>47</v>
      </c>
    </row>
    <row r="35" spans="1:26" x14ac:dyDescent="0.2">
      <c r="D35" t="s">
        <v>48</v>
      </c>
      <c r="G35" s="1" t="s">
        <v>49</v>
      </c>
      <c r="K35" s="5" t="s">
        <v>50</v>
      </c>
      <c r="P35" s="5" t="s">
        <v>51</v>
      </c>
      <c r="S35" s="5" t="s">
        <v>52</v>
      </c>
      <c r="V35" s="5" t="s">
        <v>53</v>
      </c>
      <c r="Z35" s="6" t="s">
        <v>54</v>
      </c>
    </row>
    <row r="36" spans="1:26" x14ac:dyDescent="0.2">
      <c r="D36" t="s">
        <v>55</v>
      </c>
      <c r="G36" s="1" t="s">
        <v>56</v>
      </c>
      <c r="K36" s="5" t="s">
        <v>57</v>
      </c>
      <c r="P36" s="5" t="s">
        <v>58</v>
      </c>
      <c r="S36" s="5" t="s">
        <v>59</v>
      </c>
      <c r="V36" s="5" t="s">
        <v>60</v>
      </c>
      <c r="Z36" s="6" t="s">
        <v>61</v>
      </c>
    </row>
    <row r="37" spans="1:26" x14ac:dyDescent="0.2">
      <c r="D37" t="s">
        <v>62</v>
      </c>
      <c r="G37" s="1" t="s">
        <v>63</v>
      </c>
      <c r="K37" s="5" t="s">
        <v>64</v>
      </c>
      <c r="P37" s="5" t="s">
        <v>65</v>
      </c>
      <c r="S37" s="5" t="s">
        <v>66</v>
      </c>
      <c r="V37" s="5" t="s">
        <v>67</v>
      </c>
      <c r="Z37" s="6" t="s">
        <v>68</v>
      </c>
    </row>
    <row r="38" spans="1:26" x14ac:dyDescent="0.2">
      <c r="Z38" s="6" t="s">
        <v>69</v>
      </c>
    </row>
    <row r="43" spans="1:26" x14ac:dyDescent="0.2">
      <c r="A43" s="2"/>
      <c r="B43" s="2"/>
    </row>
    <row r="45" spans="1:26" x14ac:dyDescent="0.2">
      <c r="A45" s="2"/>
      <c r="B45" s="2"/>
    </row>
    <row r="46" spans="1:26" x14ac:dyDescent="0.2">
      <c r="A46" s="2"/>
      <c r="B46" s="2"/>
    </row>
    <row r="47" spans="1:26" x14ac:dyDescent="0.2">
      <c r="A47" s="2"/>
      <c r="B47" s="2"/>
    </row>
    <row r="48" spans="1:26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</sheetData>
  <printOptions gridLines="1" gridLinesSet="0"/>
  <pageMargins left="0.75" right="0.75" top="0" bottom="0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 Lifetime SoftBall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Zwilling, Michael</cp:lastModifiedBy>
  <dcterms:created xsi:type="dcterms:W3CDTF">2023-09-21T14:25:28Z</dcterms:created>
  <dcterms:modified xsi:type="dcterms:W3CDTF">2023-09-21T14:25:28Z</dcterms:modified>
</cp:coreProperties>
</file>